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675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<sst xmlns="http://schemas.openxmlformats.org/spreadsheetml/2006/main" count="1908" uniqueCount="598">
  <si>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</si>
  <si>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</si>
  <si>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</si>
  <si>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</si>
  <si>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</si>
  <si>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</si>
  <si>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</si>
  <si>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</si>
  <si>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</si>
  <si>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</si>
  <si>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</si>
  <si>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</si>
  <si>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</si>
  <si>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</si>
  <si>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</si>
  <si>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</si>
  <si>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</si>
  <si>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</si>
  <si>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</si>
  <si>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</si>
  <si>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</si>
  <si>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</si>
  <si>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</si>
  <si>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</si>
  <si>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</si>
  <si>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</si>
  <si>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</si>
  <si>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</si>
  <si>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</si>
  <si>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</si>
  <si>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</si>
  <si>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</si>
  <si>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</si>
  <si>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</si>
  <si>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</si>
  <si>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</si>
  <si>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</si>
  <si>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</si>
  <si>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</si>
  <si>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</si>
  <si>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</si>
  <si>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</si>
  <si>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</si>
  <si>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</si>
  <si>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</si>
  <si>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</si>
  <si>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</si>
  <si>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</si>
  <si>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</si>
  <si>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</si>
  <si>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</si>
  <si>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</si>
  <si>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</si>
  <si>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</si>
  <si>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</si>
  <si>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</si>
  <si>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</si>
  <si>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</si>
  <si>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</si>
  <si>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</si>
  <si>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</si>
  <si>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</si>
  <si>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</si>
  <si>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</si>
  <si>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</si>
  <si>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</si>
  <si>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</si>
  <si>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</si>
  <si>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</si>
  <si>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</si>
  <si>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</si>
  <si>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</si>
  <si>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</si>
  <si>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</si>
  <si>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</si>
  <si>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</si>
  <si>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</si>
  <si>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</si>
  <si>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</si>
  <si>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</si>
  <si>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</si>
  <si>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</si>
  <si>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</si>
  <si>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</si>
  <si>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</si>
  <si>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</si>
  <si>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</si>
  <si>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</si>
  <si>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</si>
  <si>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</si>
  <si>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</si>
  <si>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</si>
  <si>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</si>
  <si>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</si>
  <si>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</si>
  <si>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</si>
  <si>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</si>
  <si>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</si>
  <si>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</si>
  <si>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</si>
  <si>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</si>
  <si>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</si>
  <si>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</si>
  <si>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</si>
  <si>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</si>
  <si>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</si>
  <si>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</si>
  <si>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</si>
  <si>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</si>
  <si>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</si>
  <si>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</si>
  <si>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</si>
  <si>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</si>
  <si>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</si>
  <si>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</si>
  <si>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</si>
  <si>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</si>
  <si>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</si>
  <si>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</si>
  <si>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</si>
  <si>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</si>
  <si>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</si>
  <si>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</si>
  <si>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</si>
  <si>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</si>
  <si>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</si>
  <si>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</si>
  <si>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</si>
  <si>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</si>
  <si>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</si>
  <si>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</si>
  <si>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</si>
  <si>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</si>
  <si>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</si>
  <si>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</si>
  <si>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</si>
  <si>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</si>
  <si>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</si>
  <si>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</si>
  <si>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</si>
  <si>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</si>
  <si>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</si>
  <si>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</si>
  <si>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</si>
  <si>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</si>
  <si>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</si>
  <si>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</si>
  <si>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</si>
  <si>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</si>
  <si>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</si>
  <si>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</si>
  <si>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</si>
  <si>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</si>
  <si>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</si>
  <si>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</si>
  <si>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</si>
  <si>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</si>
  <si>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</si>
  <si>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</si>
  <si>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</si>
  <si>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</si>
  <si>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</si>
  <si>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</si>
  <si>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</si>
  <si>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</si>
  <si>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</si>
  <si>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</si>
  <si>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</si>
  <si>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</si>
  <si>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</si>
  <si>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</si>
  <si>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</si>
  <si>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</si>
  <si>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</si>
  <si>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</si>
  <si>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</si>
  <si>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</si>
  <si>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</si>
  <si>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</si>
  <si>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</si>
  <si>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</si>
  <si>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</si>
  <si>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</si>
  <si>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</si>
  <si>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</si>
  <si>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</si>
  <si>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</si>
  <si>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</si>
  <si>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</si>
  <si>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</si>
  <si>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</si>
  <si>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</si>
  <si>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</si>
  <si>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</si>
  <si>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</si>
  <si>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</si>
  <si>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</si>
  <si>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</si>
  <si>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</si>
  <si>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</si>
  <si>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</si>
  <si>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</si>
  <si>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</si>
  <si>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</si>
  <si>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</si>
  <si>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</si>
  <si>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</si>
  <si>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</si>
  <si>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</si>
  <si>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</si>
  <si>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</si>
  <si>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</si>
  <si>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</si>
  <si>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</si>
  <si>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</si>
  <si>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</si>
  <si>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</si>
  <si>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</si>
  <si>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</si>
  <si>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</si>
  <si>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</si>
  <si>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</si>
  <si>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</si>
  <si>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</si>
  <si>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</si>
  <si>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</si>
  <si>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</si>
  <si>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</si>
  <si>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</si>
  <si>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</si>
  <si>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</si>
  <si>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</si>
  <si>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</si>
  <si>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</si>
  <si>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</si>
  <si>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</si>
  <si>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</si>
  <si>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</si>
  <si>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</si>
  <si>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</si>
  <si>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</si>
  <si>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</si>
  <si>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</si>
  <si>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</si>
  <si>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</si>
  <si>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</si>
  <si>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</si>
  <si>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</si>
  <si>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</si>
  <si>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</si>
  <si>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</si>
  <si>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</si>
  <si>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</si>
  <si>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</si>
  <si>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</si>
  <si>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</si>
  <si>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</si>
  <si>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</si>
  <si>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</si>
  <si>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</si>
  <si>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</si>
  <si>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</si>
  <si>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</si>
  <si>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</si>
  <si>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</si>
  <si>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</si>
  <si>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</si>
  <si>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</si>
  <si>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</si>
  <si>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</si>
  <si>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</si>
  <si>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</si>
  <si>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</si>
  <si>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</si>
  <si>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</si>
  <si>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</si>
  <si>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</si>
  <si>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</si>
  <si>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</si>
  <si>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</si>
  <si>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</si>
  <si>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</si>
  <si>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</si>
  <si>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</si>
  <si>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</si>
  <si>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</si>
  <si>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</si>
  <si>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</si>
  <si>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</si>
  <si>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</si>
  <si>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</si>
  <si>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</si>
  <si>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</si>
  <si>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</si>
  <si>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</si>
  <si>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</si>
  <si>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</si>
  <si>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</si>
  <si>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</si>
  <si>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</si>
  <si>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</si>
  <si>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</si>
  <si>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</si>
  <si>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</si>
  <si>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</si>
  <si>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</si>
  <si>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</si>
  <si>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</si>
  <si>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</si>
  <si>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</si>
  <si>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</si>
  <si>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</si>
  <si>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</si>
  <si>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</si>
  <si>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</si>
  <si>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</si>
  <si>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</si>
  <si>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</si>
  <si>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</si>
  <si>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</si>
  <si>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</si>
  <si>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</si>
  <si>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</si>
  <si>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</si>
  <si>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</si>
  <si>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</si>
  <si>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</si>
  <si>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</si>
  <si>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</si>
  <si>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</si>
  <si>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</si>
  <si>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</si>
  <si>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</si>
  <si>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</si>
  <si>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</si>
  <si>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</si>
  <si>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</si>
  <si>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</si>
  <si>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</si>
  <si>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</si>
  <si>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</si>
  <si>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</si>
  <si>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</si>
  <si>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</si>
  <si>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</si>
  <si>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</si>
  <si>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</si>
  <si>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</si>
  <si>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</si>
  <si>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</si>
  <si>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</si>
  <si>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</si>
  <si>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</si>
  <si>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</si>
  <si>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</si>
  <si>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</si>
  <si>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</si>
  <si>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</si>
  <si>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</si>
  <si>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</si>
  <si>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</si>
  <si>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</si>
  <si>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</si>
  <si>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</si>
  <si>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</si>
  <si>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</si>
  <si>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</si>
  <si>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</si>
  <si>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</si>
  <si>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</si>
  <si>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</si>
  <si>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</si>
  <si>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</si>
  <si>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</si>
  <si>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</si>
  <si>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</si>
  <si>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</si>
  <si>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</si>
  <si>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</si>
  <si>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</si>
  <si>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</si>
  <si>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</si>
  <si>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</si>
  <si>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</si>
  <si>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</si>
  <si>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</si>
  <si>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</si>
  <si>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</si>
  <si>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</si>
  <si>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</si>
  <si>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</si>
  <si>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</si>
  <si>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</si>
  <si>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</si>
  <si>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</si>
  <si>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</si>
  <si>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</si>
  <si>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</si>
  <si>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</si>
  <si>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</si>
  <si>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</si>
  <si>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</si>
  <si>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</si>
  <si>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</si>
  <si>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</si>
  <si>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</si>
  <si>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</si>
  <si>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</si>
  <si>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</si>
  <si>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</si>
  <si>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</si>
  <si>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</si>
  <si>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</si>
  <si>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</si>
  <si>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</si>
  <si>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</si>
  <si>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</si>
  <si>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</si>
  <si>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</si>
  <si>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</si>
  <si>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</si>
  <si>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</si>
  <si>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</si>
  <si>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</si>
  <si>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</si>
  <si>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</si>
  <si>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</si>
  <si>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</si>
  <si>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</si>
  <si>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</si>
  <si>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</si>
  <si>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</si>
  <si>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</si>
  <si>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</si>
  <si>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</si>
  <si>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</si>
  <si>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</si>
  <si>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</si>
  <si>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</si>
  <si>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</si>
  <si>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</si>
  <si>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</si>
  <si>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</si>
  <si>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</si>
  <si>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</si>
  <si>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</si>
  <si>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</si>
  <si>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</si>
  <si>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</si>
  <si>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</si>
  <si>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</si>
  <si>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</si>
  <si>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</si>
  <si>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</si>
  <si>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</si>
  <si>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</si>
  <si>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</si>
  <si>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</si>
  <si>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</si>
  <si>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</si>
  <si>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</si>
  <si>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</si>
  <si>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</si>
  <si>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</si>
  <si>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</si>
  <si>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</si>
  <si>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</si>
  <si>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</si>
  <si>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</si>
  <si>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</si>
  <si>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</si>
  <si>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</si>
  <si>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</si>
  <si>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</si>
  <si>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</si>
  <si>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</si>
  <si>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</si>
  <si>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</si>
  <si>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</si>
  <si>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</si>
  <si>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</si>
  <si>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</si>
  <si>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</si>
  <si>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</si>
  <si>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</si>
  <si>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</si>
  <si>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</si>
  <si>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</si>
  <si>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</si>
  <si>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</si>
  <si>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</si>
  <si>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</si>
  <si>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</si>
  <si>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</si>
  <si>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</si>
  <si>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</si>
  <si>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</si>
  <si>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</si>
  <si>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</si>
  <si>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</si>
  <si>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</si>
  <si>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</si>
  <si>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</si>
  <si>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</si>
  <si>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</si>
  <si>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</si>
  <si>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</si>
  <si>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</si>
  <si>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</si>
  <si>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</si>
  <si>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</si>
  <si>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</si>
  <si>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</si>
  <si>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</si>
  <si>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</si>
  <si>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Celestial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</si>
  <si>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</si>
  <si>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</si>
  <si>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</si>
  <si>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</si>
  <si>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</si>
  <si>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</si>
  <si>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</si>
  <si>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</si>
  <si>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</si>
  <si>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</si>
  <si>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</si>
  <si>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</si>
  <si>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</si>
  <si>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</si>
  <si>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</si>
  <si>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</si>
  <si>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</si>
  <si>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</si>
  <si>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</si>
  <si>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</si>
  <si>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</si>
  <si>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</si>
  <si>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</si>
  <si>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</si>
  <si>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</si>
  <si>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</si>
  <si>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</si>
  <si>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</si>
  <si>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</si>
  <si>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</si>
  <si>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</si>
  <si>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</si>
  <si>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</si>
  <si>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</si>
  <si>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</si>
  <si>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</si>
  <si>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</si>
  <si>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</si>
  <si>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</si>
  <si>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</si>
  <si>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</si>
  <si>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</si>
  <si>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</si>
  <si>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</si>
  <si>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</si>
  <si>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</si>
  <si>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</si>
  <si>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</si>
  <si>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</si>
  <si>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</si>
  <si>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</si>
  <si>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</si>
  <si>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</si>
  <si>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</si>
  <si>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</si>
  <si>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</si>
  <si>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</si>
  <si>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</si>
  <si>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</si>
  <si>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</si>
  <si>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</si>
  <si>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</si>
  <si>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</si>
  <si>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</si>
  <si>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</si>
  <si>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</si>
  <si>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</si>
  <si>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</si>
  <si>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</si>
  <si>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</si>
  <si>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</si>
  <si>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</si>
  <si>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</si>
  <si>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</si>
  <si>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</si>
  <si>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</si>
  <si>
    <t>SoHwan,Kakao,Justice,Teddy,Nova</t>
  </si>
  <si>
    <t>Sword,Tarzan,Rather,Viper,Lehends</t>
  </si>
  <si>
    <t>Swift,Coco,Snow,Caveman</t>
  </si>
  <si>
    <t>Swift,FireRain,Snow,Caveman</t>
  </si>
  <si>
    <t>Kiin,Mowgli,kurO,Aiming,TusiN</t>
  </si>
  <si>
    <t>Ray,Haro,Scout,Hope,Meiko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</si>
</sst>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8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9" val="7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479</v>
      </c>
      <c r="C1" t="s">
        <v>346</v>
      </c>
      <c r="D1" t="s">
        <v>181</v>
      </c>
      <c r="E1" t="s">
        <v>479</v>
      </c>
      <c r="F1" t="s">
        <v>346</v>
      </c>
      <c r="G1" t="s">
        <v>181</v>
      </c>
      <c r="H1" t="s">
        <v>592</v>
      </c>
      <c r="I1" t="s">
        <v>346</v>
      </c>
      <c r="J1" t="s">
        <v>503</v>
      </c>
      <c r="K1" t="s">
        <v>479</v>
      </c>
      <c r="L1" t="s">
        <v>345</v>
      </c>
      <c r="M1" t="s">
        <v>503</v>
      </c>
      <c r="N1" t="s">
        <v>479</v>
      </c>
      <c r="O1" t="s">
        <v>345</v>
      </c>
      <c r="P1" t="s">
        <v>503</v>
      </c>
    </row>
    <row r="2" spans="1:16">
      <c r="A2" t="s">
        <v>8</v>
      </c>
      <c r="B2" t="s">
        <v>445</v>
      </c>
      <c r="C2" t="s">
        <v>346</v>
      </c>
      <c r="D2" t="s">
        <v>540</v>
      </c>
      <c r="E2" t="s">
        <v>445</v>
      </c>
      <c r="F2" t="s">
        <v>346</v>
      </c>
      <c r="G2" t="s">
        <v>27</v>
      </c>
      <c r="H2" t="s">
        <v>445</v>
      </c>
      <c r="I2" t="s">
        <v>346</v>
      </c>
      <c r="J2" t="s">
        <v>27</v>
      </c>
      <c r="K2" t="s">
        <v>445</v>
      </c>
      <c r="L2" t="s">
        <v>346</v>
      </c>
      <c r="M2" t="s">
        <v>513</v>
      </c>
      <c r="N2" t="s">
        <v>445</v>
      </c>
      <c r="O2" t="s">
        <v>346</v>
      </c>
      <c r="P2" t="s">
        <v>513</v>
      </c>
    </row>
    <row r="3" spans="1:16">
      <c r="A3" t="s">
        <v>15</v>
      </c>
      <c r="B3" t="s">
        <v>498</v>
      </c>
      <c r="C3" t="s">
        <v>346</v>
      </c>
      <c r="D3" t="s">
        <v>192</v>
      </c>
      <c r="E3" t="s">
        <v>570</v>
      </c>
      <c r="F3" t="s">
        <v>345</v>
      </c>
      <c r="G3" t="s">
        <v>157</v>
      </c>
      <c r="H3" t="s">
        <v>570</v>
      </c>
      <c r="I3" t="s">
        <v>345</v>
      </c>
      <c r="J3" t="s">
        <v>157</v>
      </c>
      <c r="K3" t="s">
        <v>570</v>
      </c>
      <c r="L3" t="s">
        <v>345</v>
      </c>
      <c r="M3" t="s">
        <v>216</v>
      </c>
      <c r="N3" t="s">
        <v>570</v>
      </c>
      <c r="O3" t="s">
        <v>345</v>
      </c>
      <c r="P3" t="s">
        <v>216</v>
      </c>
    </row>
    <row r="4" spans="1:16">
      <c r="A4" t="s">
        <v>416</v>
      </c>
      <c r="B4" t="s">
        <v>480</v>
      </c>
      <c r="C4" t="s">
        <v>345</v>
      </c>
      <c r="D4" t="s">
        <v>423</v>
      </c>
      <c r="E4" t="s">
        <v>480</v>
      </c>
      <c r="F4" t="s">
        <v>345</v>
      </c>
      <c r="G4" t="s">
        <v>427</v>
      </c>
      <c r="H4" t="s">
        <v>480</v>
      </c>
      <c r="I4" t="s">
        <v>345</v>
      </c>
      <c r="J4" t="s">
        <v>410</v>
      </c>
      <c r="K4" t="s">
        <v>480</v>
      </c>
      <c r="L4" t="s">
        <v>346</v>
      </c>
      <c r="M4" t="s">
        <v>400</v>
      </c>
      <c r="N4" t="s">
        <v>480</v>
      </c>
      <c r="O4" t="s">
        <v>345</v>
      </c>
      <c r="P4" t="s">
        <v>483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503</v>
      </c>
      <c r="B6" t="s">
        <v>536</v>
      </c>
      <c r="C6" t="s">
        <v>345</v>
      </c>
      <c r="D6" t="s">
        <v>102</v>
      </c>
      <c r="E6" t="s">
        <v>536</v>
      </c>
      <c r="F6" t="s">
        <v>345</v>
      </c>
      <c r="G6" t="s">
        <v>102</v>
      </c>
      <c r="H6" t="s">
        <v>593</v>
      </c>
      <c r="I6" t="s">
        <v>345</v>
      </c>
      <c r="J6" t="s">
        <v>2</v>
      </c>
      <c r="K6" t="s">
        <v>593</v>
      </c>
      <c r="L6" t="s">
        <v>346</v>
      </c>
      <c r="M6" t="s">
        <v>2</v>
      </c>
      <c r="N6" t="s">
        <v>536</v>
      </c>
      <c r="O6" t="s">
        <v>346</v>
      </c>
      <c r="P6" t="s">
        <v>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499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346</v>
      </c>
      <c r="G8" t="s">
        <v>229</v>
      </c>
      <c r="H8" t="s">
        <v>577</v>
      </c>
      <c r="I8" t="s">
        <v>346</v>
      </c>
      <c r="J8" t="s">
        <v>229</v>
      </c>
      <c r="K8" t="s">
        <v>447</v>
      </c>
      <c r="L8" t="s">
        <v>345</v>
      </c>
      <c r="M8" t="s">
        <v>84</v>
      </c>
      <c r="N8" t="s">
        <v>447</v>
      </c>
      <c r="O8" t="s">
        <v>345</v>
      </c>
      <c r="P8" t="s">
        <v>84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345</v>
      </c>
      <c r="D10" t="s">
        <v>432</v>
      </c>
      <c r="E10" t="s">
        <v>482</v>
      </c>
      <c r="F10" t="s">
        <v>346</v>
      </c>
      <c r="G10" t="s">
        <v>416</v>
      </c>
      <c r="H10" t="s">
        <v>482</v>
      </c>
      <c r="I10" t="s">
        <v>346</v>
      </c>
      <c r="J10" t="s">
        <v>423</v>
      </c>
      <c r="K10" t="s">
        <v>482</v>
      </c>
      <c r="L10" t="s">
        <v>346</v>
      </c>
      <c r="M10" t="s">
        <v>397</v>
      </c>
      <c r="N10" t="s">
        <v>482</v>
      </c>
      <c r="O10" t="s">
        <v>346</v>
      </c>
      <c r="P10" t="s">
        <v>410</v>
      </c>
    </row>
    <row r="11" spans="1:16">
      <c r="A11" t="s">
        <v>397</v>
      </c>
      <c r="B11" t="s">
        <v>500</v>
      </c>
      <c r="C11" t="s">
        <v>346</v>
      </c>
      <c r="D11" t="s">
        <v>400</v>
      </c>
      <c r="E11" t="s">
        <v>500</v>
      </c>
      <c r="F11" t="s">
        <v>345</v>
      </c>
      <c r="G11" t="s">
        <v>423</v>
      </c>
      <c r="H11" t="s">
        <v>484</v>
      </c>
      <c r="I11" t="s">
        <v>346</v>
      </c>
      <c r="J11" t="s">
        <v>483</v>
      </c>
      <c r="K11" t="s">
        <v>484</v>
      </c>
      <c r="L11" t="s">
        <v>345</v>
      </c>
      <c r="M11" t="s">
        <v>427</v>
      </c>
      <c r="N11" t="s">
        <v>484</v>
      </c>
      <c r="O11" t="s">
        <v>345</v>
      </c>
      <c r="P11" t="s">
        <v>432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571</v>
      </c>
      <c r="L13" t="s">
        <v>346</v>
      </c>
      <c r="M13" t="s">
        <v>347</v>
      </c>
      <c r="N13" t="s">
        <v>571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346</v>
      </c>
      <c r="D15" t="s">
        <v>483</v>
      </c>
      <c r="E15" t="s">
        <v>487</v>
      </c>
      <c r="F15" t="s">
        <v>346</v>
      </c>
      <c r="G15" t="s">
        <v>432</v>
      </c>
      <c r="H15" t="s">
        <v>487</v>
      </c>
      <c r="I15" t="s">
        <v>346</v>
      </c>
      <c r="J15" t="s">
        <v>416</v>
      </c>
      <c r="K15" t="s">
        <v>487</v>
      </c>
      <c r="L15" t="s">
        <v>346</v>
      </c>
      <c r="M15" t="s">
        <v>423</v>
      </c>
      <c r="N15" t="s">
        <v>487</v>
      </c>
      <c r="O15" t="s">
        <v>345</v>
      </c>
      <c r="P15" t="s">
        <v>427</v>
      </c>
    </row>
    <row r="16" spans="1:16">
      <c r="A16" t="s">
        <v>451</v>
      </c>
      <c r="B16" t="s">
        <v>476</v>
      </c>
      <c r="C16" t="s">
        <v>345</v>
      </c>
      <c r="D16" t="s">
        <v>517</v>
      </c>
      <c r="E16" t="s">
        <v>476</v>
      </c>
      <c r="F16" t="s">
        <v>345</v>
      </c>
      <c r="G16" t="s">
        <v>517</v>
      </c>
      <c r="H16" t="s">
        <v>476</v>
      </c>
      <c r="I16" t="s">
        <v>345</v>
      </c>
      <c r="J16" t="s">
        <v>588</v>
      </c>
      <c r="K16" t="s">
        <v>476</v>
      </c>
      <c r="L16" t="s">
        <v>346</v>
      </c>
      <c r="M16" t="s">
        <v>588</v>
      </c>
      <c r="N16" t="s">
        <v>476</v>
      </c>
      <c r="O16" t="s">
        <v>345</v>
      </c>
      <c r="P16" t="s">
        <v>588</v>
      </c>
    </row>
    <row r="17" spans="1:16">
      <c r="A17" t="s">
        <v>348</v>
      </c>
      <c r="B17" t="s">
        <v>488</v>
      </c>
      <c r="C17" t="s">
        <v>346</v>
      </c>
      <c r="D17" t="s">
        <v>140</v>
      </c>
      <c r="E17" t="s">
        <v>488</v>
      </c>
      <c r="F17" t="s">
        <v>346</v>
      </c>
      <c r="G17" t="s">
        <v>222</v>
      </c>
      <c r="H17" t="s">
        <v>488</v>
      </c>
      <c r="I17" t="s">
        <v>346</v>
      </c>
      <c r="J17" t="s">
        <v>120</v>
      </c>
      <c r="K17" t="s">
        <v>572</v>
      </c>
      <c r="L17" t="s">
        <v>345</v>
      </c>
      <c r="M17" t="s">
        <v>349</v>
      </c>
      <c r="N17" t="s">
        <v>572</v>
      </c>
      <c r="O17" t="s">
        <v>345</v>
      </c>
      <c r="P17" t="s">
        <v>347</v>
      </c>
    </row>
    <row r="18" spans="1:16">
      <c r="A18" t="s">
        <v>299</v>
      </c>
      <c r="B18" t="s">
        <v>489</v>
      </c>
      <c r="C18" t="s">
        <v>345</v>
      </c>
      <c r="D18" t="s">
        <v>185</v>
      </c>
      <c r="E18" t="s">
        <v>489</v>
      </c>
      <c r="F18" t="s">
        <v>345</v>
      </c>
      <c r="G18" t="s">
        <v>234</v>
      </c>
      <c r="H18" t="s">
        <v>489</v>
      </c>
      <c r="I18" t="s">
        <v>345</v>
      </c>
      <c r="J18" t="s">
        <v>66</v>
      </c>
      <c r="K18" t="s">
        <v>489</v>
      </c>
      <c r="L18" t="s">
        <v>346</v>
      </c>
      <c r="M18" t="s">
        <v>205</v>
      </c>
      <c r="N18" t="s">
        <v>489</v>
      </c>
      <c r="O18" t="s">
        <v>345</v>
      </c>
      <c r="P18" t="s">
        <v>113</v>
      </c>
    </row>
    <row r="19" spans="1:16">
      <c r="A19" t="s">
        <v>66</v>
      </c>
      <c r="B19" t="s">
        <v>502</v>
      </c>
      <c r="C19" t="s">
        <v>346</v>
      </c>
      <c r="D19" t="s">
        <v>244</v>
      </c>
      <c r="E19" t="s">
        <v>501</v>
      </c>
      <c r="F19" t="s">
        <v>345</v>
      </c>
      <c r="G19" t="s">
        <v>205</v>
      </c>
      <c r="H19" t="s">
        <v>502</v>
      </c>
      <c r="I19" t="s">
        <v>346</v>
      </c>
      <c r="J19" t="s">
        <v>299</v>
      </c>
      <c r="K19" t="s">
        <v>502</v>
      </c>
      <c r="L19" t="s">
        <v>345</v>
      </c>
      <c r="M19" t="s">
        <v>234</v>
      </c>
      <c r="N19" t="s">
        <v>502</v>
      </c>
      <c r="O19" t="s">
        <v>345</v>
      </c>
      <c r="P19" t="s">
        <v>21</v>
      </c>
    </row>
    <row r="20" spans="1:16">
      <c r="A20" t="s">
        <v>78</v>
      </c>
      <c r="B20" t="s">
        <v>490</v>
      </c>
      <c r="C20" t="s">
        <v>346</v>
      </c>
      <c r="D20" t="s">
        <v>84</v>
      </c>
      <c r="E20" t="s">
        <v>594</v>
      </c>
      <c r="F20" t="s">
        <v>346</v>
      </c>
      <c r="G20" t="s">
        <v>192</v>
      </c>
      <c r="H20" t="s">
        <v>594</v>
      </c>
      <c r="I20" t="s">
        <v>346</v>
      </c>
      <c r="J20" t="s">
        <v>192</v>
      </c>
      <c r="K20" t="s">
        <v>595</v>
      </c>
      <c r="L20" t="s">
        <v>346</v>
      </c>
      <c r="M20" t="s">
        <v>216</v>
      </c>
      <c r="N20" t="s">
        <v>490</v>
      </c>
      <c r="O20" t="s">
        <v>346</v>
      </c>
      <c r="P20" t="s">
        <v>216</v>
      </c>
    </row>
    <row r="21" spans="1:16">
      <c r="A21" t="s">
        <v>469</v>
      </c>
      <c r="B21" t="s">
        <v>477</v>
      </c>
      <c r="C21" t="s">
        <v>345</v>
      </c>
      <c r="D21" t="s">
        <v>519</v>
      </c>
      <c r="E21" t="s">
        <v>477</v>
      </c>
      <c r="F21" t="s">
        <v>345</v>
      </c>
      <c r="G21" t="s">
        <v>518</v>
      </c>
      <c r="H21" t="s">
        <v>477</v>
      </c>
      <c r="I21" t="s">
        <v>345</v>
      </c>
      <c r="J21" t="s">
        <v>518</v>
      </c>
      <c r="K21" t="s">
        <v>477</v>
      </c>
      <c r="L21" t="s">
        <v>345</v>
      </c>
      <c r="M21" t="s">
        <v>519</v>
      </c>
      <c r="N21" t="s">
        <v>477</v>
      </c>
      <c r="O21" t="s">
        <v>345</v>
      </c>
      <c r="P21" t="s">
        <v>519</v>
      </c>
    </row>
    <row r="22" spans="1:16">
      <c r="A22" t="s">
        <v>84</v>
      </c>
      <c r="B22" t="s">
        <v>491</v>
      </c>
      <c r="C22" t="s">
        <v>345</v>
      </c>
      <c r="D22" t="s">
        <v>78</v>
      </c>
      <c r="E22" t="s">
        <v>491</v>
      </c>
      <c r="F22" t="s">
        <v>346</v>
      </c>
      <c r="G22" t="s">
        <v>337</v>
      </c>
      <c r="H22" t="s">
        <v>491</v>
      </c>
      <c r="I22" t="s">
        <v>346</v>
      </c>
      <c r="J22" t="s">
        <v>337</v>
      </c>
      <c r="K22" t="s">
        <v>491</v>
      </c>
      <c r="L22" t="s">
        <v>346</v>
      </c>
      <c r="M22" t="s">
        <v>41</v>
      </c>
      <c r="N22" t="s">
        <v>491</v>
      </c>
      <c r="O22" t="s">
        <v>346</v>
      </c>
      <c r="P22" t="s">
        <v>41</v>
      </c>
    </row>
    <row r="23" spans="1:16">
      <c r="A23" t="s">
        <v>540</v>
      </c>
      <c r="B23" t="s">
        <v>350</v>
      </c>
      <c r="C23" t="s">
        <v>346</v>
      </c>
      <c r="D23" t="s">
        <v>8</v>
      </c>
      <c r="E23" t="s">
        <v>350</v>
      </c>
      <c r="F23" t="s">
        <v>345</v>
      </c>
      <c r="G23" t="s">
        <v>8</v>
      </c>
      <c r="H23" t="s">
        <v>350</v>
      </c>
      <c r="I23" t="s">
        <v>345</v>
      </c>
      <c r="J23" t="s">
        <v>127</v>
      </c>
      <c r="K23" t="s">
        <v>350</v>
      </c>
      <c r="L23" t="s">
        <v>346</v>
      </c>
      <c r="M23" t="s">
        <v>127</v>
      </c>
      <c r="N23" t="s">
        <v>350</v>
      </c>
      <c r="O23" t="s">
        <v>346</v>
      </c>
      <c r="P23" t="s">
        <v>127</v>
      </c>
    </row>
    <row r="24" spans="1:16">
      <c r="A24" t="s">
        <v>95</v>
      </c>
      <c r="B24" t="s">
        <v>492</v>
      </c>
      <c r="C24" t="s">
        <v>346</v>
      </c>
      <c r="D24" t="s">
        <v>127</v>
      </c>
      <c r="E24" t="s">
        <v>492</v>
      </c>
      <c r="F24" t="s">
        <v>346</v>
      </c>
      <c r="G24" t="s">
        <v>127</v>
      </c>
      <c r="H24" t="s">
        <v>596</v>
      </c>
      <c r="I24" t="s">
        <v>346</v>
      </c>
      <c r="J24" t="s">
        <v>181</v>
      </c>
      <c r="K24" t="s">
        <v>596</v>
      </c>
      <c r="L24" t="s">
        <v>345</v>
      </c>
      <c r="M24" t="s">
        <v>181</v>
      </c>
      <c r="N24" t="s">
        <v>596</v>
      </c>
      <c r="O24" t="s">
        <v>345</v>
      </c>
      <c r="P24" t="s">
        <v>181</v>
      </c>
    </row>
    <row r="25" spans="1:16">
      <c r="A25" t="s">
        <v>102</v>
      </c>
      <c r="B25" t="s">
        <v>548</v>
      </c>
      <c r="C25" t="s">
        <v>345</v>
      </c>
      <c r="D25" t="s">
        <v>95</v>
      </c>
      <c r="E25" t="s">
        <v>548</v>
      </c>
      <c r="F25" t="s">
        <v>346</v>
      </c>
      <c r="G25" t="s">
        <v>95</v>
      </c>
      <c r="H25" t="s">
        <v>548</v>
      </c>
      <c r="I25" t="s">
        <v>346</v>
      </c>
      <c r="J25" t="s">
        <v>95</v>
      </c>
      <c r="K25" t="s">
        <v>578</v>
      </c>
      <c r="L25" t="s">
        <v>346</v>
      </c>
      <c r="M25" t="s">
        <v>503</v>
      </c>
      <c r="N25" t="s">
        <v>579</v>
      </c>
      <c r="O25" t="s">
        <v>346</v>
      </c>
      <c r="P25" t="s">
        <v>503</v>
      </c>
    </row>
    <row r="26" spans="1:16">
      <c r="A26" t="s">
        <v>106</v>
      </c>
      <c r="B26" t="s">
        <v>504</v>
      </c>
      <c r="C26" t="s">
        <v>346</v>
      </c>
      <c r="D26" t="s">
        <v>239</v>
      </c>
      <c r="E26" t="s">
        <v>504</v>
      </c>
      <c r="F26" t="s">
        <v>346</v>
      </c>
      <c r="G26" t="s">
        <v>168</v>
      </c>
      <c r="H26" t="s">
        <v>504</v>
      </c>
      <c r="I26" t="s">
        <v>346</v>
      </c>
      <c r="J26" t="s">
        <v>168</v>
      </c>
      <c r="K26" t="s">
        <v>504</v>
      </c>
      <c r="L26" t="s">
        <v>346</v>
      </c>
      <c r="M26" t="s">
        <v>337</v>
      </c>
      <c r="N26" t="s">
        <v>504</v>
      </c>
      <c r="O26" t="s">
        <v>346</v>
      </c>
      <c r="P26" t="s">
        <v>337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493</v>
      </c>
      <c r="C28" t="s">
        <v>346</v>
      </c>
      <c r="D28" t="s">
        <v>205</v>
      </c>
      <c r="E28" t="s">
        <v>493</v>
      </c>
      <c r="F28" t="s">
        <v>346</v>
      </c>
      <c r="G28" t="s">
        <v>147</v>
      </c>
      <c r="H28" t="s">
        <v>493</v>
      </c>
      <c r="I28" t="s">
        <v>345</v>
      </c>
      <c r="J28" t="s">
        <v>234</v>
      </c>
      <c r="K28" t="s">
        <v>493</v>
      </c>
      <c r="L28" t="s">
        <v>346</v>
      </c>
      <c r="M28" t="s">
        <v>133</v>
      </c>
      <c r="N28" t="s">
        <v>493</v>
      </c>
      <c r="O28" t="s">
        <v>346</v>
      </c>
      <c r="P28" t="s">
        <v>299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95</v>
      </c>
      <c r="E30" t="s">
        <v>355</v>
      </c>
      <c r="F30" t="s">
        <v>345</v>
      </c>
      <c r="G30" t="s">
        <v>95</v>
      </c>
      <c r="H30" t="s">
        <v>355</v>
      </c>
      <c r="I30" t="s">
        <v>346</v>
      </c>
      <c r="J30" t="s">
        <v>540</v>
      </c>
      <c r="K30" t="s">
        <v>549</v>
      </c>
      <c r="L30" t="s">
        <v>345</v>
      </c>
      <c r="M30" t="s">
        <v>540</v>
      </c>
      <c r="N30" t="s">
        <v>549</v>
      </c>
      <c r="O30" t="s">
        <v>345</v>
      </c>
      <c r="P30" t="s">
        <v>540</v>
      </c>
    </row>
    <row r="31" spans="1:16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520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>
      <c r="A32" t="s">
        <v>133</v>
      </c>
      <c r="B32" t="s">
        <v>505</v>
      </c>
      <c r="C32" t="s">
        <v>346</v>
      </c>
      <c r="D32" t="s">
        <v>21</v>
      </c>
      <c r="E32" t="s">
        <v>521</v>
      </c>
      <c r="F32" t="s">
        <v>345</v>
      </c>
      <c r="G32" t="s">
        <v>185</v>
      </c>
      <c r="H32" t="s">
        <v>521</v>
      </c>
      <c r="I32" t="s">
        <v>346</v>
      </c>
      <c r="J32" t="s">
        <v>147</v>
      </c>
      <c r="K32" t="s">
        <v>521</v>
      </c>
      <c r="L32" t="s">
        <v>345</v>
      </c>
      <c r="M32" t="s">
        <v>113</v>
      </c>
      <c r="N32" t="s">
        <v>521</v>
      </c>
      <c r="O32" t="s">
        <v>345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494</v>
      </c>
      <c r="C34" t="s">
        <v>346</v>
      </c>
      <c r="D34" t="s">
        <v>234</v>
      </c>
      <c r="E34" t="s">
        <v>494</v>
      </c>
      <c r="F34" t="s">
        <v>345</v>
      </c>
      <c r="G34" t="s">
        <v>113</v>
      </c>
      <c r="H34" t="s">
        <v>494</v>
      </c>
      <c r="I34" t="s">
        <v>345</v>
      </c>
      <c r="J34" t="s">
        <v>133</v>
      </c>
      <c r="K34" t="s">
        <v>494</v>
      </c>
      <c r="L34" t="s">
        <v>345</v>
      </c>
      <c r="M34" t="s">
        <v>21</v>
      </c>
      <c r="N34" t="s">
        <v>494</v>
      </c>
      <c r="O34" t="s">
        <v>345</v>
      </c>
      <c r="P34" t="s">
        <v>244</v>
      </c>
    </row>
    <row r="35" spans="1:16">
      <c r="A35" t="s">
        <v>152</v>
      </c>
      <c r="B35" t="s">
        <v>357</v>
      </c>
      <c r="C35" t="s">
        <v>346</v>
      </c>
      <c r="D35" t="s">
        <v>239</v>
      </c>
      <c r="E35" t="s">
        <v>357</v>
      </c>
      <c r="F35" t="s">
        <v>346</v>
      </c>
      <c r="G35" t="s">
        <v>239</v>
      </c>
      <c r="H35" t="s">
        <v>597</v>
      </c>
      <c r="I35" t="s">
        <v>346</v>
      </c>
      <c r="J35" t="s">
        <v>168</v>
      </c>
      <c r="K35" t="s">
        <v>597</v>
      </c>
      <c r="L35" t="s">
        <v>345</v>
      </c>
      <c r="M35" t="s">
        <v>168</v>
      </c>
      <c r="N35" t="s">
        <v>597</v>
      </c>
      <c r="O35" t="s">
        <v>346</v>
      </c>
      <c r="P35" t="s">
        <v>168</v>
      </c>
    </row>
    <row r="36" spans="1:16">
      <c r="A36" t="s">
        <v>157</v>
      </c>
      <c r="B36" t="s">
        <v>522</v>
      </c>
      <c r="C36" t="s">
        <v>346</v>
      </c>
      <c r="D36" t="s">
        <v>54</v>
      </c>
      <c r="E36" t="s">
        <v>556</v>
      </c>
      <c r="F36" t="s">
        <v>345</v>
      </c>
      <c r="G36" t="s">
        <v>337</v>
      </c>
      <c r="H36" t="s">
        <v>557</v>
      </c>
      <c r="I36" t="s">
        <v>345</v>
      </c>
      <c r="J36" t="s">
        <v>337</v>
      </c>
      <c r="K36" t="s">
        <v>556</v>
      </c>
      <c r="L36" t="s">
        <v>346</v>
      </c>
      <c r="M36" t="s">
        <v>15</v>
      </c>
      <c r="N36" t="s">
        <v>557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345</v>
      </c>
      <c r="D37" t="s">
        <v>106</v>
      </c>
      <c r="E37" t="s">
        <v>358</v>
      </c>
      <c r="F37" t="s">
        <v>345</v>
      </c>
      <c r="G37" t="s">
        <v>106</v>
      </c>
      <c r="H37" t="s">
        <v>358</v>
      </c>
      <c r="I37" t="s">
        <v>345</v>
      </c>
      <c r="J37" t="s">
        <v>152</v>
      </c>
      <c r="K37" t="s">
        <v>358</v>
      </c>
      <c r="L37" t="s">
        <v>346</v>
      </c>
      <c r="M37" t="s">
        <v>152</v>
      </c>
      <c r="N37" t="s">
        <v>358</v>
      </c>
      <c r="O37" t="s">
        <v>345</v>
      </c>
      <c r="P37" t="s">
        <v>152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523</v>
      </c>
      <c r="C39" t="s">
        <v>346</v>
      </c>
      <c r="D39" t="s">
        <v>513</v>
      </c>
      <c r="E39" t="s">
        <v>523</v>
      </c>
      <c r="F39" t="s">
        <v>345</v>
      </c>
      <c r="G39" t="s">
        <v>513</v>
      </c>
      <c r="H39" t="s">
        <v>523</v>
      </c>
      <c r="I39" t="s">
        <v>345</v>
      </c>
      <c r="J39" t="s">
        <v>95</v>
      </c>
      <c r="K39" t="s">
        <v>523</v>
      </c>
      <c r="L39" t="s">
        <v>346</v>
      </c>
      <c r="M39" t="s">
        <v>95</v>
      </c>
      <c r="N39" t="s">
        <v>523</v>
      </c>
      <c r="O39" t="s">
        <v>346</v>
      </c>
      <c r="P39" t="s">
        <v>95</v>
      </c>
    </row>
    <row r="40" spans="1:16">
      <c r="A40" t="s">
        <v>423</v>
      </c>
      <c r="B40" t="s">
        <v>438</v>
      </c>
      <c r="C40" t="s">
        <v>346</v>
      </c>
      <c r="D40" t="s">
        <v>416</v>
      </c>
      <c r="E40" t="s">
        <v>438</v>
      </c>
      <c r="F40" t="s">
        <v>346</v>
      </c>
      <c r="G40" t="s">
        <v>397</v>
      </c>
      <c r="H40" t="s">
        <v>438</v>
      </c>
      <c r="I40" t="s">
        <v>345</v>
      </c>
      <c r="J40" t="s">
        <v>427</v>
      </c>
      <c r="K40" t="s">
        <v>438</v>
      </c>
      <c r="L40" t="s">
        <v>345</v>
      </c>
      <c r="M40" t="s">
        <v>410</v>
      </c>
      <c r="N40" t="s">
        <v>438</v>
      </c>
      <c r="O40" t="s">
        <v>346</v>
      </c>
      <c r="P40" t="s">
        <v>400</v>
      </c>
    </row>
    <row r="41" spans="1:16">
      <c r="A41" t="s">
        <v>432</v>
      </c>
      <c r="B41" t="s">
        <v>506</v>
      </c>
      <c r="C41" t="s">
        <v>346</v>
      </c>
      <c r="D41" t="s">
        <v>427</v>
      </c>
      <c r="E41" t="s">
        <v>506</v>
      </c>
      <c r="F41" t="s">
        <v>345</v>
      </c>
      <c r="G41" t="s">
        <v>410</v>
      </c>
      <c r="H41" t="s">
        <v>506</v>
      </c>
      <c r="I41" t="s">
        <v>346</v>
      </c>
      <c r="J41" t="s">
        <v>400</v>
      </c>
      <c r="K41" t="s">
        <v>506</v>
      </c>
      <c r="L41" t="s">
        <v>345</v>
      </c>
      <c r="M41" t="s">
        <v>483</v>
      </c>
      <c r="N41" t="s">
        <v>506</v>
      </c>
      <c r="O41" t="s">
        <v>346</v>
      </c>
      <c r="P41" t="s">
        <v>397</v>
      </c>
    </row>
    <row r="42" spans="1:16">
      <c r="A42" t="s">
        <v>400</v>
      </c>
      <c r="B42" t="s">
        <v>507</v>
      </c>
      <c r="C42" t="s">
        <v>345</v>
      </c>
      <c r="D42" t="s">
        <v>397</v>
      </c>
      <c r="E42" t="s">
        <v>507</v>
      </c>
      <c r="F42" t="s">
        <v>346</v>
      </c>
      <c r="G42" t="s">
        <v>483</v>
      </c>
      <c r="H42" t="s">
        <v>589</v>
      </c>
      <c r="I42" t="s">
        <v>345</v>
      </c>
      <c r="J42" t="s">
        <v>432</v>
      </c>
      <c r="K42" t="s">
        <v>589</v>
      </c>
      <c r="L42" t="s">
        <v>345</v>
      </c>
      <c r="M42" t="s">
        <v>416</v>
      </c>
      <c r="N42" t="s">
        <v>589</v>
      </c>
      <c r="O42" t="s">
        <v>345</v>
      </c>
      <c r="P42" t="s">
        <v>423</v>
      </c>
    </row>
    <row r="43" spans="1:16">
      <c r="A43" t="s">
        <v>229</v>
      </c>
      <c r="B43" t="s">
        <v>580</v>
      </c>
      <c r="C43" t="s">
        <v>345</v>
      </c>
      <c r="D43" t="s">
        <v>41</v>
      </c>
      <c r="E43" t="s">
        <v>580</v>
      </c>
      <c r="F43" t="s">
        <v>345</v>
      </c>
      <c r="G43" t="s">
        <v>41</v>
      </c>
      <c r="H43" t="s">
        <v>580</v>
      </c>
      <c r="I43" t="s">
        <v>345</v>
      </c>
      <c r="J43" t="s">
        <v>239</v>
      </c>
      <c r="K43" t="s">
        <v>580</v>
      </c>
      <c r="L43" t="s">
        <v>346</v>
      </c>
      <c r="M43" t="s">
        <v>239</v>
      </c>
      <c r="N43" t="s">
        <v>580</v>
      </c>
      <c r="O43" t="s">
        <v>346</v>
      </c>
      <c r="P43" t="s">
        <v>239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345</v>
      </c>
      <c r="G44" t="s">
        <v>54</v>
      </c>
      <c r="H44" t="s">
        <v>360</v>
      </c>
      <c r="I44" t="s">
        <v>345</v>
      </c>
      <c r="J44" t="s">
        <v>54</v>
      </c>
      <c r="K44" t="s">
        <v>360</v>
      </c>
      <c r="L44" t="s">
        <v>345</v>
      </c>
      <c r="M44" t="s">
        <v>78</v>
      </c>
      <c r="N44" t="s">
        <v>360</v>
      </c>
      <c r="O44" t="s">
        <v>345</v>
      </c>
      <c r="P44" t="s">
        <v>78</v>
      </c>
    </row>
    <row r="45" spans="1:16">
      <c r="A45" t="s">
        <v>198</v>
      </c>
      <c r="B45" t="s">
        <v>495</v>
      </c>
      <c r="C45" t="s">
        <v>345</v>
      </c>
      <c r="D45" t="s">
        <v>347</v>
      </c>
      <c r="E45" t="s">
        <v>495</v>
      </c>
      <c r="F45" t="s">
        <v>345</v>
      </c>
      <c r="G45" t="s">
        <v>211</v>
      </c>
      <c r="H45" t="s">
        <v>495</v>
      </c>
      <c r="I45" t="s">
        <v>345</v>
      </c>
      <c r="J45" t="s">
        <v>140</v>
      </c>
      <c r="K45" t="s">
        <v>495</v>
      </c>
      <c r="L45" t="s">
        <v>345</v>
      </c>
      <c r="M45" t="s">
        <v>34</v>
      </c>
      <c r="N45" t="s">
        <v>495</v>
      </c>
      <c r="O45" t="s">
        <v>345</v>
      </c>
      <c r="P45" t="s">
        <v>60</v>
      </c>
    </row>
    <row r="46" spans="1:16">
      <c r="A46" t="s">
        <v>205</v>
      </c>
      <c r="B46" t="s">
        <v>508</v>
      </c>
      <c r="C46" t="s">
        <v>345</v>
      </c>
      <c r="D46" t="s">
        <v>113</v>
      </c>
      <c r="E46" t="s">
        <v>508</v>
      </c>
      <c r="F46" t="s">
        <v>346</v>
      </c>
      <c r="G46" t="s">
        <v>66</v>
      </c>
      <c r="H46" t="s">
        <v>508</v>
      </c>
      <c r="I46" t="s">
        <v>345</v>
      </c>
      <c r="J46" t="s">
        <v>244</v>
      </c>
      <c r="K46" t="s">
        <v>581</v>
      </c>
      <c r="L46" t="s">
        <v>345</v>
      </c>
      <c r="M46" t="s">
        <v>299</v>
      </c>
      <c r="N46" t="s">
        <v>581</v>
      </c>
      <c r="O46" t="s">
        <v>346</v>
      </c>
      <c r="P46" t="s">
        <v>133</v>
      </c>
    </row>
    <row r="47" spans="1:16">
      <c r="A47" t="s">
        <v>337</v>
      </c>
      <c r="B47" t="s">
        <v>509</v>
      </c>
      <c r="C47" t="s">
        <v>346</v>
      </c>
      <c r="D47" t="s">
        <v>157</v>
      </c>
      <c r="E47" t="s">
        <v>509</v>
      </c>
      <c r="F47" t="s">
        <v>345</v>
      </c>
      <c r="G47" t="s">
        <v>84</v>
      </c>
      <c r="H47" t="s">
        <v>509</v>
      </c>
      <c r="I47" t="s">
        <v>345</v>
      </c>
      <c r="J47" t="s">
        <v>84</v>
      </c>
      <c r="K47" t="s">
        <v>509</v>
      </c>
      <c r="L47" t="s">
        <v>345</v>
      </c>
      <c r="M47" t="s">
        <v>106</v>
      </c>
      <c r="N47" t="s">
        <v>509</v>
      </c>
      <c r="O47" t="s">
        <v>345</v>
      </c>
      <c r="P47" t="s">
        <v>106</v>
      </c>
    </row>
    <row r="48" spans="1:16">
      <c r="A48" t="s">
        <v>211</v>
      </c>
      <c r="B48" t="s">
        <v>510</v>
      </c>
      <c r="C48" t="s">
        <v>345</v>
      </c>
      <c r="D48" t="s">
        <v>60</v>
      </c>
      <c r="E48" t="s">
        <v>510</v>
      </c>
      <c r="F48" t="s">
        <v>346</v>
      </c>
      <c r="G48" t="s">
        <v>198</v>
      </c>
      <c r="H48" t="s">
        <v>510</v>
      </c>
      <c r="I48" t="s">
        <v>346</v>
      </c>
      <c r="J48" t="s">
        <v>34</v>
      </c>
      <c r="K48" t="s">
        <v>510</v>
      </c>
      <c r="L48" t="s">
        <v>346</v>
      </c>
      <c r="M48" t="s">
        <v>140</v>
      </c>
      <c r="N48" t="s">
        <v>510</v>
      </c>
      <c r="O48" t="s">
        <v>345</v>
      </c>
      <c r="P48" t="s">
        <v>349</v>
      </c>
    </row>
    <row r="49" spans="1:16">
      <c r="A49" t="s">
        <v>216</v>
      </c>
      <c r="B49" t="s">
        <v>524</v>
      </c>
      <c r="C49" t="s">
        <v>345</v>
      </c>
      <c r="D49" t="s">
        <v>168</v>
      </c>
      <c r="E49" t="s">
        <v>590</v>
      </c>
      <c r="F49" t="s">
        <v>346</v>
      </c>
      <c r="G49" t="s">
        <v>15</v>
      </c>
      <c r="H49" t="s">
        <v>590</v>
      </c>
      <c r="I49" t="s">
        <v>346</v>
      </c>
      <c r="J49" t="s">
        <v>15</v>
      </c>
      <c r="K49" t="s">
        <v>524</v>
      </c>
      <c r="L49" t="s">
        <v>345</v>
      </c>
      <c r="M49" t="s">
        <v>78</v>
      </c>
      <c r="N49" t="s">
        <v>524</v>
      </c>
      <c r="O49" t="s">
        <v>345</v>
      </c>
      <c r="P49" t="s">
        <v>78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496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362</v>
      </c>
      <c r="C51" t="s">
        <v>346</v>
      </c>
      <c r="D51" t="s">
        <v>299</v>
      </c>
      <c r="E51" t="s">
        <v>362</v>
      </c>
      <c r="F51" t="s">
        <v>346</v>
      </c>
      <c r="G51" t="s">
        <v>133</v>
      </c>
      <c r="H51" t="s">
        <v>362</v>
      </c>
      <c r="I51" t="s">
        <v>345</v>
      </c>
      <c r="J51" t="s">
        <v>21</v>
      </c>
      <c r="K51" t="s">
        <v>362</v>
      </c>
      <c r="L51" t="s">
        <v>345</v>
      </c>
      <c r="M51" t="s">
        <v>244</v>
      </c>
      <c r="N51" t="s">
        <v>362</v>
      </c>
      <c r="O51" t="s">
        <v>345</v>
      </c>
      <c r="P51" t="s">
        <v>234</v>
      </c>
    </row>
    <row r="52" spans="1:16">
      <c r="A52" t="s">
        <v>234</v>
      </c>
      <c r="B52" t="s">
        <v>363</v>
      </c>
      <c r="C52" t="s">
        <v>345</v>
      </c>
      <c r="D52" t="s">
        <v>147</v>
      </c>
      <c r="E52" t="s">
        <v>363</v>
      </c>
      <c r="F52" t="s">
        <v>346</v>
      </c>
      <c r="G52" t="s">
        <v>299</v>
      </c>
      <c r="H52" t="s">
        <v>363</v>
      </c>
      <c r="I52" t="s">
        <v>346</v>
      </c>
      <c r="J52" t="s">
        <v>113</v>
      </c>
      <c r="K52" t="s">
        <v>582</v>
      </c>
      <c r="L52" t="s">
        <v>346</v>
      </c>
      <c r="M52" t="s">
        <v>66</v>
      </c>
      <c r="N52" t="s">
        <v>582</v>
      </c>
      <c r="O52" t="s">
        <v>346</v>
      </c>
      <c r="P52" t="s">
        <v>185</v>
      </c>
    </row>
    <row r="53" spans="1:16">
      <c r="A53" t="s">
        <v>239</v>
      </c>
      <c r="B53" t="s">
        <v>525</v>
      </c>
      <c r="C53" t="s">
        <v>345</v>
      </c>
      <c r="D53" t="s">
        <v>152</v>
      </c>
      <c r="E53" t="s">
        <v>525</v>
      </c>
      <c r="F53" t="s">
        <v>345</v>
      </c>
      <c r="G53" t="s">
        <v>152</v>
      </c>
      <c r="H53" t="s">
        <v>525</v>
      </c>
      <c r="I53" t="s">
        <v>346</v>
      </c>
      <c r="J53" t="s">
        <v>229</v>
      </c>
      <c r="K53" t="s">
        <v>525</v>
      </c>
      <c r="L53" t="s">
        <v>345</v>
      </c>
      <c r="M53" t="s">
        <v>229</v>
      </c>
      <c r="N53" t="s">
        <v>525</v>
      </c>
      <c r="O53" t="s">
        <v>345</v>
      </c>
      <c r="P53" t="s">
        <v>229</v>
      </c>
    </row>
    <row r="54" spans="1:16">
      <c r="A54" t="s">
        <v>513</v>
      </c>
      <c r="B54" t="s">
        <v>514</v>
      </c>
      <c r="C54" t="s">
        <v>346</v>
      </c>
      <c r="D54" t="s">
        <v>181</v>
      </c>
      <c r="E54" t="s">
        <v>583</v>
      </c>
      <c r="F54" t="s">
        <v>345</v>
      </c>
      <c r="G54" t="s">
        <v>181</v>
      </c>
      <c r="H54" t="s">
        <v>583</v>
      </c>
      <c r="I54" t="s">
        <v>346</v>
      </c>
      <c r="J54" t="s">
        <v>181</v>
      </c>
      <c r="K54" t="s">
        <v>514</v>
      </c>
      <c r="L54" t="s">
        <v>345</v>
      </c>
      <c r="M54" t="s">
        <v>8</v>
      </c>
      <c r="N54" t="s">
        <v>514</v>
      </c>
      <c r="O54" t="s">
        <v>345</v>
      </c>
      <c r="P54" t="s">
        <v>8</v>
      </c>
    </row>
    <row r="55" spans="1:16">
      <c r="A55" t="s">
        <v>244</v>
      </c>
      <c r="B55" t="s">
        <v>497</v>
      </c>
      <c r="C55" t="s">
        <v>345</v>
      </c>
      <c r="D55" t="s">
        <v>66</v>
      </c>
      <c r="E55" t="s">
        <v>497</v>
      </c>
      <c r="F55" t="s">
        <v>345</v>
      </c>
      <c r="G55" t="s">
        <v>21</v>
      </c>
      <c r="H55" t="s">
        <v>497</v>
      </c>
      <c r="I55" t="s">
        <v>346</v>
      </c>
      <c r="J55" t="s">
        <v>205</v>
      </c>
      <c r="K55" t="s">
        <v>497</v>
      </c>
      <c r="L55" t="s">
        <v>346</v>
      </c>
      <c r="M55" t="s">
        <v>185</v>
      </c>
      <c r="N55" t="s">
        <v>497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388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387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387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397</v>
      </c>
      <c r="C2" t="s">
        <v>398</v>
      </c>
      <c r="D2" s="2">
        <v>1546</v>
      </c>
      <c r="E2">
        <v>100</v>
      </c>
      <c r="F2" t="s">
        <v>526</v>
      </c>
      <c r="G2">
        <v>1556</v>
      </c>
      <c r="H2">
        <v>152</v>
      </c>
      <c r="I2" t="s">
        <v>399</v>
      </c>
      <c r="J2">
        <v>1518</v>
      </c>
      <c r="K2">
        <v>188</v>
      </c>
      <c r="L2" t="s">
        <v>528</v>
      </c>
      <c r="M2">
        <v>1505</v>
      </c>
      <c r="N2">
        <v>73</v>
      </c>
      <c r="O2" t="s">
        <v>527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1705</v>
      </c>
      <c r="E3">
        <v>128</v>
      </c>
      <c r="F3" t="s">
        <v>98</v>
      </c>
      <c r="G3">
        <v>1703</v>
      </c>
      <c r="H3">
        <v>368</v>
      </c>
      <c r="I3" t="s">
        <v>99</v>
      </c>
      <c r="J3">
        <v>1730</v>
      </c>
      <c r="K3">
        <v>415</v>
      </c>
      <c r="L3" t="s">
        <v>512</v>
      </c>
      <c r="M3">
        <v>1705</v>
      </c>
      <c r="N3">
        <v>42</v>
      </c>
      <c r="O3" t="s">
        <v>101</v>
      </c>
      <c r="P3">
        <v>1721</v>
      </c>
      <c r="Q3">
        <v>282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1550</v>
      </c>
      <c r="E4">
        <v>299</v>
      </c>
      <c r="F4" t="s">
        <v>546</v>
      </c>
      <c r="G4">
        <v>1552</v>
      </c>
      <c r="H4">
        <v>44</v>
      </c>
      <c r="I4" t="s">
        <v>547</v>
      </c>
      <c r="J4">
        <v>1534</v>
      </c>
      <c r="K4">
        <v>45</v>
      </c>
      <c r="L4" t="s">
        <v>46</v>
      </c>
      <c r="M4">
        <v>1550</v>
      </c>
      <c r="N4">
        <v>231</v>
      </c>
      <c r="O4" t="s">
        <v>322</v>
      </c>
      <c r="P4">
        <v>1557</v>
      </c>
      <c r="Q4">
        <v>204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575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562</v>
      </c>
      <c r="P6">
        <v>1572</v>
      </c>
      <c r="Q6">
        <v>100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584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585</v>
      </c>
      <c r="M7">
        <v>1478</v>
      </c>
      <c r="N7">
        <v>266</v>
      </c>
      <c r="O7" t="s">
        <v>586</v>
      </c>
      <c r="P7">
        <v>1449</v>
      </c>
      <c r="Q7">
        <v>32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1473</v>
      </c>
      <c r="H8">
        <v>206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1471</v>
      </c>
      <c r="Q8">
        <v>63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1698</v>
      </c>
      <c r="E9">
        <v>167</v>
      </c>
      <c r="F9" t="s">
        <v>154</v>
      </c>
      <c r="G9">
        <v>1683</v>
      </c>
      <c r="H9">
        <v>71</v>
      </c>
      <c r="I9" t="s">
        <v>155</v>
      </c>
      <c r="J9">
        <v>1723</v>
      </c>
      <c r="K9">
        <v>242</v>
      </c>
      <c r="L9" t="s">
        <v>156</v>
      </c>
      <c r="M9">
        <v>1729</v>
      </c>
      <c r="N9">
        <v>110</v>
      </c>
      <c r="O9" t="s">
        <v>325</v>
      </c>
      <c r="P9">
        <v>1724</v>
      </c>
      <c r="Q9">
        <v>420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1683</v>
      </c>
      <c r="E10">
        <v>96</v>
      </c>
      <c r="F10" t="s">
        <v>465</v>
      </c>
      <c r="G10">
        <v>1663</v>
      </c>
      <c r="H10">
        <v>74</v>
      </c>
      <c r="I10" t="s">
        <v>466</v>
      </c>
      <c r="J10">
        <v>1655</v>
      </c>
      <c r="K10">
        <v>80</v>
      </c>
      <c r="L10" t="s">
        <v>467</v>
      </c>
      <c r="M10">
        <v>1670</v>
      </c>
      <c r="N10">
        <v>99</v>
      </c>
      <c r="O10" t="s">
        <v>468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563</v>
      </c>
      <c r="J11">
        <v>1520</v>
      </c>
      <c r="K11">
        <v>54</v>
      </c>
      <c r="L11" t="s">
        <v>587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569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564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565</v>
      </c>
      <c r="P14">
        <v>1627</v>
      </c>
      <c r="Q14">
        <v>40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1470</v>
      </c>
      <c r="E16">
        <v>192</v>
      </c>
      <c r="F16" t="s">
        <v>550</v>
      </c>
      <c r="G16">
        <v>1480</v>
      </c>
      <c r="H16">
        <v>68</v>
      </c>
      <c r="I16" t="s">
        <v>551</v>
      </c>
      <c r="J16">
        <v>1477</v>
      </c>
      <c r="K16">
        <v>254</v>
      </c>
      <c r="L16" t="s">
        <v>86</v>
      </c>
      <c r="M16">
        <v>1498</v>
      </c>
      <c r="N16">
        <v>146</v>
      </c>
      <c r="O16" t="s">
        <v>87</v>
      </c>
      <c r="P16">
        <v>1497</v>
      </c>
      <c r="Q16">
        <v>115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1363</v>
      </c>
      <c r="K18">
        <v>22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513</v>
      </c>
      <c r="B19" t="s">
        <v>513</v>
      </c>
      <c r="C19" t="s">
        <v>163</v>
      </c>
      <c r="D19" s="2">
        <v>1769</v>
      </c>
      <c r="E19">
        <v>412</v>
      </c>
      <c r="F19" t="s">
        <v>164</v>
      </c>
      <c r="G19">
        <v>1793</v>
      </c>
      <c r="H19">
        <v>352</v>
      </c>
      <c r="I19" t="s">
        <v>336</v>
      </c>
      <c r="J19">
        <v>1691</v>
      </c>
      <c r="K19">
        <v>243</v>
      </c>
      <c r="L19" t="s">
        <v>166</v>
      </c>
      <c r="M19">
        <v>1764</v>
      </c>
      <c r="N19">
        <v>279</v>
      </c>
      <c r="O19" t="s">
        <v>167</v>
      </c>
      <c r="P19">
        <v>1762</v>
      </c>
      <c r="Q19">
        <v>309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559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566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>
      <c r="A22" t="s">
        <v>503</v>
      </c>
      <c r="B22" t="s">
        <v>529</v>
      </c>
      <c r="C22" t="s">
        <v>530</v>
      </c>
      <c r="D22" s="2">
        <v>1742</v>
      </c>
      <c r="E22">
        <v>50</v>
      </c>
      <c r="F22" t="s">
        <v>531</v>
      </c>
      <c r="G22">
        <v>1742</v>
      </c>
      <c r="H22">
        <v>50</v>
      </c>
      <c r="I22" t="s">
        <v>532</v>
      </c>
      <c r="J22">
        <v>1701</v>
      </c>
      <c r="K22">
        <v>32</v>
      </c>
      <c r="L22" t="s">
        <v>533</v>
      </c>
      <c r="M22">
        <v>1742</v>
      </c>
      <c r="N22">
        <v>50</v>
      </c>
      <c r="O22" t="s">
        <v>537</v>
      </c>
      <c r="P22">
        <v>1748</v>
      </c>
      <c r="Q22">
        <v>55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1496</v>
      </c>
      <c r="E24">
        <v>47</v>
      </c>
      <c r="F24" t="s">
        <v>412</v>
      </c>
      <c r="G24">
        <v>1496</v>
      </c>
      <c r="H24">
        <v>47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1496</v>
      </c>
      <c r="Q24">
        <v>47</v>
      </c>
      <c r="AM24"/>
      <c r="AP24"/>
      <c r="AS24"/>
      <c r="AV24"/>
    </row>
    <row r="25" spans="1:48">
      <c r="A25" t="s">
        <v>540</v>
      </c>
      <c r="B25" t="s">
        <v>541</v>
      </c>
      <c r="C25" t="s">
        <v>278</v>
      </c>
      <c r="D25" s="2">
        <v>1634</v>
      </c>
      <c r="E25">
        <v>159</v>
      </c>
      <c r="F25" t="s">
        <v>341</v>
      </c>
      <c r="G25">
        <v>1632</v>
      </c>
      <c r="H25">
        <v>153</v>
      </c>
      <c r="I25" t="s">
        <v>340</v>
      </c>
      <c r="J25">
        <v>1629</v>
      </c>
      <c r="K25">
        <v>107</v>
      </c>
      <c r="L25" t="s">
        <v>279</v>
      </c>
      <c r="M25">
        <v>1634</v>
      </c>
      <c r="N25">
        <v>334</v>
      </c>
      <c r="O25" t="s">
        <v>330</v>
      </c>
      <c r="P25">
        <v>1633</v>
      </c>
      <c r="Q25">
        <v>242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543</v>
      </c>
      <c r="D26" s="2">
        <v>1690</v>
      </c>
      <c r="E26">
        <v>352</v>
      </c>
      <c r="F26" t="s">
        <v>241</v>
      </c>
      <c r="G26">
        <v>1789</v>
      </c>
      <c r="H26">
        <v>142</v>
      </c>
      <c r="I26" t="s">
        <v>335</v>
      </c>
      <c r="J26">
        <v>1785</v>
      </c>
      <c r="K26">
        <v>404</v>
      </c>
      <c r="L26" t="s">
        <v>242</v>
      </c>
      <c r="M26">
        <v>1829</v>
      </c>
      <c r="N26">
        <v>86</v>
      </c>
      <c r="O26" t="s">
        <v>243</v>
      </c>
      <c r="P26">
        <v>1786</v>
      </c>
      <c r="Q26">
        <v>206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1633</v>
      </c>
      <c r="E27">
        <v>84</v>
      </c>
      <c r="F27" t="s">
        <v>171</v>
      </c>
      <c r="G27">
        <v>1638</v>
      </c>
      <c r="H27">
        <v>128</v>
      </c>
      <c r="I27" t="s">
        <v>321</v>
      </c>
      <c r="J27">
        <v>1633</v>
      </c>
      <c r="K27">
        <v>84</v>
      </c>
      <c r="L27" t="s">
        <v>172</v>
      </c>
      <c r="M27">
        <v>1615</v>
      </c>
      <c r="N27">
        <v>165</v>
      </c>
      <c r="O27" t="s">
        <v>173</v>
      </c>
      <c r="P27">
        <v>1630</v>
      </c>
      <c r="Q27">
        <v>120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1540</v>
      </c>
      <c r="E28">
        <v>126</v>
      </c>
      <c r="F28" t="s">
        <v>5</v>
      </c>
      <c r="G28">
        <v>1548</v>
      </c>
      <c r="H28">
        <v>163</v>
      </c>
      <c r="I28" t="s">
        <v>343</v>
      </c>
      <c r="J28">
        <v>1536</v>
      </c>
      <c r="K28">
        <v>72</v>
      </c>
      <c r="L28" t="s">
        <v>6</v>
      </c>
      <c r="M28">
        <v>1537</v>
      </c>
      <c r="N28">
        <v>175</v>
      </c>
      <c r="O28" t="s">
        <v>542</v>
      </c>
      <c r="P28">
        <v>1492</v>
      </c>
      <c r="Q28">
        <v>51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534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1829</v>
      </c>
      <c r="E30">
        <v>160</v>
      </c>
      <c r="F30" t="s">
        <v>129</v>
      </c>
      <c r="G30">
        <v>1879</v>
      </c>
      <c r="H30">
        <v>313</v>
      </c>
      <c r="I30" t="s">
        <v>130</v>
      </c>
      <c r="J30">
        <v>1830</v>
      </c>
      <c r="K30">
        <v>224</v>
      </c>
      <c r="L30" t="s">
        <v>131</v>
      </c>
      <c r="M30">
        <v>1839</v>
      </c>
      <c r="N30">
        <v>454</v>
      </c>
      <c r="O30" t="s">
        <v>132</v>
      </c>
      <c r="P30">
        <v>1839</v>
      </c>
      <c r="Q30">
        <v>450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511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573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1472</v>
      </c>
      <c r="E35">
        <v>293</v>
      </c>
      <c r="F35" t="s">
        <v>591</v>
      </c>
      <c r="G35">
        <v>1513</v>
      </c>
      <c r="H35">
        <v>138</v>
      </c>
      <c r="I35" t="s">
        <v>231</v>
      </c>
      <c r="J35">
        <v>1466</v>
      </c>
      <c r="K35">
        <v>218</v>
      </c>
      <c r="L35" t="s">
        <v>232</v>
      </c>
      <c r="M35">
        <v>1424</v>
      </c>
      <c r="N35">
        <v>60</v>
      </c>
      <c r="O35" t="s">
        <v>233</v>
      </c>
      <c r="P35">
        <v>1473</v>
      </c>
      <c r="Q35">
        <v>282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576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567</v>
      </c>
      <c r="P36">
        <v>1455</v>
      </c>
      <c r="Q36">
        <v>131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1803</v>
      </c>
      <c r="E38">
        <v>233</v>
      </c>
      <c r="F38" t="s">
        <v>195</v>
      </c>
      <c r="G38">
        <v>1730</v>
      </c>
      <c r="H38">
        <v>162</v>
      </c>
      <c r="I38" t="s">
        <v>196</v>
      </c>
      <c r="J38">
        <v>1765</v>
      </c>
      <c r="K38">
        <v>271</v>
      </c>
      <c r="L38" t="s">
        <v>197</v>
      </c>
      <c r="M38">
        <v>1764</v>
      </c>
      <c r="N38">
        <v>312</v>
      </c>
      <c r="O38" t="s">
        <v>331</v>
      </c>
      <c r="P38">
        <v>1790</v>
      </c>
      <c r="Q38">
        <v>85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1668</v>
      </c>
      <c r="E39">
        <v>60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1656</v>
      </c>
      <c r="Q39">
        <v>102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516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1674</v>
      </c>
      <c r="E41">
        <v>90</v>
      </c>
      <c r="F41" t="s">
        <v>339</v>
      </c>
      <c r="G41">
        <v>1726</v>
      </c>
      <c r="H41">
        <v>223</v>
      </c>
      <c r="I41" t="s">
        <v>538</v>
      </c>
      <c r="J41">
        <v>1510</v>
      </c>
      <c r="K41">
        <v>108</v>
      </c>
      <c r="L41" t="s">
        <v>184</v>
      </c>
      <c r="M41">
        <v>1704</v>
      </c>
      <c r="N41">
        <v>505</v>
      </c>
      <c r="O41" t="s">
        <v>539</v>
      </c>
      <c r="P41">
        <v>1695</v>
      </c>
      <c r="Q41">
        <v>58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1561</v>
      </c>
      <c r="E42">
        <v>118</v>
      </c>
      <c r="F42" t="s">
        <v>393</v>
      </c>
      <c r="G42">
        <v>1577</v>
      </c>
      <c r="H42">
        <v>99</v>
      </c>
      <c r="I42" t="s">
        <v>535</v>
      </c>
      <c r="J42">
        <v>1540</v>
      </c>
      <c r="K42">
        <v>14</v>
      </c>
      <c r="L42" t="s">
        <v>76</v>
      </c>
      <c r="M42">
        <v>1561</v>
      </c>
      <c r="N42">
        <v>251</v>
      </c>
      <c r="O42" t="s">
        <v>77</v>
      </c>
      <c r="P42">
        <v>1565</v>
      </c>
      <c r="Q42">
        <v>115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1545</v>
      </c>
      <c r="E43">
        <v>367</v>
      </c>
      <c r="F43" t="s">
        <v>109</v>
      </c>
      <c r="G43">
        <v>1545</v>
      </c>
      <c r="H43">
        <v>206</v>
      </c>
      <c r="I43" t="s">
        <v>110</v>
      </c>
      <c r="J43">
        <v>1550</v>
      </c>
      <c r="K43">
        <v>81</v>
      </c>
      <c r="L43" t="s">
        <v>544</v>
      </c>
      <c r="M43">
        <v>1464</v>
      </c>
      <c r="N43">
        <v>19</v>
      </c>
      <c r="O43" t="s">
        <v>545</v>
      </c>
      <c r="P43">
        <v>1509</v>
      </c>
      <c r="Q43">
        <v>34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1738</v>
      </c>
      <c r="E45">
        <v>97</v>
      </c>
      <c r="F45" t="s">
        <v>424</v>
      </c>
      <c r="G45">
        <v>1730</v>
      </c>
      <c r="H45">
        <v>103</v>
      </c>
      <c r="I45" t="s">
        <v>425</v>
      </c>
      <c r="J45">
        <v>1715</v>
      </c>
      <c r="K45">
        <v>269</v>
      </c>
      <c r="L45" t="s">
        <v>426</v>
      </c>
      <c r="M45">
        <v>1728</v>
      </c>
      <c r="N45">
        <v>104</v>
      </c>
      <c r="O45" t="s">
        <v>444</v>
      </c>
      <c r="P45">
        <v>1731</v>
      </c>
      <c r="Q45">
        <v>311</v>
      </c>
    </row>
    <row r="46" spans="1:48">
      <c r="A46" t="s">
        <v>427</v>
      </c>
      <c r="C46" t="s">
        <v>440</v>
      </c>
      <c r="D46" s="2">
        <v>1476</v>
      </c>
      <c r="E46">
        <v>62</v>
      </c>
      <c r="F46" t="s">
        <v>428</v>
      </c>
      <c r="G46">
        <v>1403</v>
      </c>
      <c r="H46">
        <v>153</v>
      </c>
      <c r="I46" t="s">
        <v>429</v>
      </c>
      <c r="J46">
        <v>1430</v>
      </c>
      <c r="K46">
        <v>104</v>
      </c>
      <c r="L46" t="s">
        <v>430</v>
      </c>
      <c r="M46">
        <v>1421</v>
      </c>
      <c r="N46">
        <v>109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568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 t="s">
        <v>515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344</v>
      </c>
      <c r="D50" s="2">
        <v>1424</v>
      </c>
      <c r="E50">
        <v>25</v>
      </c>
      <c r="F50" t="s">
        <v>574</v>
      </c>
      <c r="G50">
        <v>1477</v>
      </c>
      <c r="H50">
        <v>48</v>
      </c>
      <c r="I50" t="s">
        <v>395</v>
      </c>
      <c r="J50">
        <v>1445</v>
      </c>
      <c r="K50">
        <v>151</v>
      </c>
      <c r="L50" t="s">
        <v>220</v>
      </c>
      <c r="M50">
        <v>1436</v>
      </c>
      <c r="N50">
        <v>106</v>
      </c>
      <c r="O50" t="s">
        <v>221</v>
      </c>
      <c r="P50">
        <v>1433</v>
      </c>
      <c r="Q50">
        <v>85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558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552</v>
      </c>
      <c r="D52" s="2">
        <v>1345</v>
      </c>
      <c r="E52">
        <v>33</v>
      </c>
      <c r="F52" t="s">
        <v>553</v>
      </c>
      <c r="G52">
        <v>1409</v>
      </c>
      <c r="H52">
        <v>304</v>
      </c>
      <c r="I52" t="s">
        <v>554</v>
      </c>
      <c r="J52">
        <v>1333</v>
      </c>
      <c r="K52">
        <v>30</v>
      </c>
      <c r="L52" t="s">
        <v>555</v>
      </c>
      <c r="M52">
        <v>1329</v>
      </c>
      <c r="N52">
        <v>43</v>
      </c>
      <c r="O52" t="s">
        <v>83</v>
      </c>
      <c r="P52">
        <v>1379</v>
      </c>
      <c r="Q52">
        <v>176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561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560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1466</v>
      </c>
      <c r="E54">
        <v>83</v>
      </c>
      <c r="F54" t="s">
        <v>434</v>
      </c>
      <c r="G54">
        <v>1472</v>
      </c>
      <c r="H54">
        <v>65</v>
      </c>
      <c r="I54" t="s">
        <v>435</v>
      </c>
      <c r="J54">
        <v>1627</v>
      </c>
      <c r="K54">
        <v>31</v>
      </c>
      <c r="L54" t="s">
        <v>436</v>
      </c>
      <c r="M54">
        <v>1472</v>
      </c>
      <c r="N54">
        <v>65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1458</v>
      </c>
      <c r="E55">
        <v>252</v>
      </c>
      <c r="F55" t="s">
        <v>11</v>
      </c>
      <c r="G55">
        <v>1563</v>
      </c>
      <c r="H55">
        <v>285</v>
      </c>
      <c r="I55" t="s">
        <v>12</v>
      </c>
      <c r="J55">
        <v>1456</v>
      </c>
      <c r="K55">
        <v>248</v>
      </c>
      <c r="L55" t="s">
        <v>13</v>
      </c>
      <c r="M55">
        <v>1470</v>
      </c>
      <c r="N55">
        <v>184</v>
      </c>
      <c r="O55" t="s">
        <v>14</v>
      </c>
      <c r="P55">
        <v>1486</v>
      </c>
      <c r="Q55">
        <v>238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38</v>
      </c>
      <c r="D69" t="str">
        <f>INDEX(A1:A55,C69)</f>
        <v>Rogue Warriors</v>
      </c>
    </row>
    <row r="70" spans="3:48">
      <c r="C70">
        <v>9</v>
      </c>
      <c r="D70" t="str">
        <f>INDEX(A1:A55,C70)</f>
        <v>EDward Gaming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1837.4</v>
      </c>
    </row>
    <row r="81" spans="3:10">
      <c r="C81" t="s">
        <v>372</v>
      </c>
      <c r="D81" s="15">
        <f>IF(D111=2,Laskin!D12*E103,Laskin!D12)</f>
        <v>1770.4</v>
      </c>
      <c r="I81" s="16" t="s">
        <v>265</v>
      </c>
      <c r="J81" s="17">
        <f>J84+J85</f>
        <v>0.66871595782894788</v>
      </c>
    </row>
    <row r="82" spans="3:10">
      <c r="C82" t="s">
        <v>373</v>
      </c>
      <c r="D82" s="15">
        <f>IF(D111=2,(Laskin!L12+D79)*F103,Laskin!L12+D79)</f>
        <v>1778.4</v>
      </c>
      <c r="I82" s="16" t="s">
        <v>266</v>
      </c>
      <c r="J82" s="17">
        <f>1-J81</f>
        <v>0.33128404217105212</v>
      </c>
    </row>
    <row r="83" spans="3:10">
      <c r="C83" t="s">
        <v>374</v>
      </c>
      <c r="D83" s="15">
        <f>IF(D111=2,Laskin!L12*F103,Laskin!L12)</f>
        <v>1711.4</v>
      </c>
      <c r="J83" s="17"/>
    </row>
    <row r="84" spans="3:10">
      <c r="I84" s="18" t="s">
        <v>271</v>
      </c>
      <c r="J84" s="17">
        <f>D86*D90</f>
        <v>0.32913232954024024</v>
      </c>
    </row>
    <row r="85" spans="3:10">
      <c r="I85" s="18" t="s">
        <v>272</v>
      </c>
      <c r="J85" s="17">
        <f>D86*D89*D86+D87*D90*D86</f>
        <v>0.3395836282887077</v>
      </c>
    </row>
    <row r="86" spans="3:10">
      <c r="C86" t="s">
        <v>262</v>
      </c>
      <c r="D86" s="3">
        <f>1/(1+(10^((D83-(D80))/400)))</f>
        <v>0.67377618788832216</v>
      </c>
      <c r="I86" s="18" t="s">
        <v>273</v>
      </c>
      <c r="J86" s="17">
        <f>1-J87-J84-J85</f>
        <v>0.1644170093013424</v>
      </c>
    </row>
    <row r="87" spans="3:10">
      <c r="C87" t="s">
        <v>263</v>
      </c>
      <c r="D87" s="3">
        <f>1-D86</f>
        <v>0.32622381211167784</v>
      </c>
      <c r="I87" s="18" t="s">
        <v>274</v>
      </c>
      <c r="J87" s="17">
        <f>D87*D89</f>
        <v>0.16686703286970975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0.5115108912177917</v>
      </c>
      <c r="J89" s="17"/>
    </row>
    <row r="90" spans="3:10">
      <c r="C90" t="s">
        <v>270</v>
      </c>
      <c r="D90" s="3">
        <f>1-D89</f>
        <v>0.4884891087822083</v>
      </c>
      <c r="J90" s="17"/>
    </row>
    <row r="94" spans="3:10">
      <c r="C94" t="str">
        <f>Laskin!E26</f>
        <v>win</v>
      </c>
      <c r="D94" s="3" t="str">
        <f>Laskin!K26</f>
        <v>lose</v>
      </c>
      <c r="E94">
        <f>IF(C94="win",1,0)</f>
        <v>1</v>
      </c>
      <c r="F94">
        <f>IF(D94="win",1,0)</f>
        <v>0</v>
      </c>
    </row>
    <row r="95" spans="3:10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>
      <c r="C96" t="str">
        <f>Laskin!E28</f>
        <v>win</v>
      </c>
      <c r="D96" s="3" t="str">
        <f>Laskin!K28</f>
        <v>lose</v>
      </c>
      <c r="E96">
        <f t="shared" si="0"/>
        <v>1</v>
      </c>
      <c r="F96">
        <f t="shared" si="1"/>
        <v>0</v>
      </c>
    </row>
    <row r="97" spans="3:6">
      <c r="C97" t="str">
        <f>Laskin!E29</f>
        <v>win</v>
      </c>
      <c r="D97" s="3" t="str">
        <f>Laskin!K29</f>
        <v>lose</v>
      </c>
      <c r="E97">
        <f t="shared" si="0"/>
        <v>1</v>
      </c>
      <c r="F97">
        <f t="shared" si="1"/>
        <v>0</v>
      </c>
    </row>
    <row r="98" spans="3:6">
      <c r="C98" t="str">
        <f>Laskin!E30</f>
        <v>win</v>
      </c>
      <c r="D98" s="3" t="str">
        <f>Laskin!K30</f>
        <v>lose</v>
      </c>
      <c r="E98">
        <f t="shared" si="0"/>
        <v>1</v>
      </c>
      <c r="F98">
        <f t="shared" si="1"/>
        <v>0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Mouse</v>
      </c>
      <c r="D6" s="84">
        <f>VLOOKUP(Data!$D$69,Data!Excel_data,4,FALSE)</f>
        <v>1803</v>
      </c>
      <c r="E6" s="8">
        <f>VLOOKUP(Data!$D$69,Data!Excel_data,5,FALSE)</f>
        <v>233</v>
      </c>
      <c r="F6" s="91"/>
      <c r="G6" s="91"/>
      <c r="H6" s="91"/>
      <c r="I6" s="36"/>
      <c r="J6" s="37" t="s">
        <v>250</v>
      </c>
      <c r="K6" s="7" t="str">
        <f>VLOOKUP(Data!$D$70,Data!Excel_data,3,FALSE)</f>
        <v>Ray</v>
      </c>
      <c r="L6" s="84">
        <f>VLOOKUP(Data!$D$70,Data!Excel_data,4,FALSE)</f>
        <v>1698</v>
      </c>
      <c r="M6" s="8">
        <f>VLOOKUP(Data!$D$70,Data!Excel_data,5,FALSE)</f>
        <v>167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Flawless</v>
      </c>
      <c r="D7" s="67">
        <f>VLOOKUP(Data!$D$69,Data!Excel_data,7,FALSE)</f>
        <v>1730</v>
      </c>
      <c r="E7" s="10">
        <f>VLOOKUP(Data!$D$69,Data!Excel_data,8,FALSE)</f>
        <v>162</v>
      </c>
      <c r="F7" s="91"/>
      <c r="G7" s="91"/>
      <c r="H7" s="91"/>
      <c r="I7" s="36"/>
      <c r="J7" s="38" t="s">
        <v>251</v>
      </c>
      <c r="K7" s="9" t="str">
        <f>VLOOKUP(Data!$D$70,Data!Excel_data,6,FALSE)</f>
        <v>Haro</v>
      </c>
      <c r="L7" s="67">
        <f>VLOOKUP(Data!$D$70,Data!Excel_data,7,FALSE)</f>
        <v>1683</v>
      </c>
      <c r="M7" s="10">
        <f>VLOOKUP(Data!$D$70,Data!Excel_data,8,FALSE)</f>
        <v>71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Doinb</v>
      </c>
      <c r="D8" s="67">
        <f>VLOOKUP(Data!$D$69,Data!Excel_data,10,FALSE)</f>
        <v>1765</v>
      </c>
      <c r="E8" s="10">
        <f>VLOOKUP(Data!$D$69,Data!Excel_data,11,FALSE)</f>
        <v>271</v>
      </c>
      <c r="F8" s="91"/>
      <c r="G8" s="91"/>
      <c r="H8" s="91"/>
      <c r="I8" s="36"/>
      <c r="J8" s="38" t="s">
        <v>252</v>
      </c>
      <c r="K8" s="9" t="str">
        <f>VLOOKUP(Data!$D$70,Data!Excel_data,9,FALSE)</f>
        <v>Scout</v>
      </c>
      <c r="L8" s="67">
        <f>VLOOKUP(Data!$D$70,Data!Excel_data,10,FALSE)</f>
        <v>1723</v>
      </c>
      <c r="M8" s="10">
        <f>VLOOKUP(Data!$D$70,Data!Excel_data,11,FALSE)</f>
        <v>242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SmLz</v>
      </c>
      <c r="D9" s="67">
        <f>VLOOKUP(Data!$D$69,Data!Excel_data,13,FALSE)</f>
        <v>1764</v>
      </c>
      <c r="E9" s="10">
        <f>VLOOKUP(Data!$D$69,Data!Excel_data,14,FALSE)</f>
        <v>312</v>
      </c>
      <c r="F9" s="91"/>
      <c r="G9" s="91"/>
      <c r="H9" s="91"/>
      <c r="I9" s="36"/>
      <c r="J9" s="38" t="s">
        <v>253</v>
      </c>
      <c r="K9" s="9" t="str">
        <f>VLOOKUP(Data!$D$70,Data!Excel_data,12,FALSE)</f>
        <v>iBOY</v>
      </c>
      <c r="L9" s="67">
        <f>VLOOKUP(Data!$D$70,Data!Excel_data,13,FALSE)</f>
        <v>1729</v>
      </c>
      <c r="M9" s="10">
        <f>VLOOKUP(Data!$D$70,Data!Excel_data,14,FALSE)</f>
        <v>110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Killua</v>
      </c>
      <c r="D10" s="85">
        <f>VLOOKUP(Data!$D$69,Data!Excel_data,16,FALSE)</f>
        <v>1790</v>
      </c>
      <c r="E10" s="12">
        <f>VLOOKUP(Data!$D$69,Data!Excel_data,17,FALSE)</f>
        <v>85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Meiko</v>
      </c>
      <c r="L10" s="85">
        <f>VLOOKUP(Data!$D$70,Data!Excel_data,16,FALSE)</f>
        <v>1724</v>
      </c>
      <c r="M10" s="12">
        <f>VLOOKUP(Data!$D$70,Data!Excel_data,17,FALSE)</f>
        <v>420</v>
      </c>
      <c r="N10" s="91"/>
      <c r="O10" s="91"/>
      <c r="P10" s="91"/>
    </row>
    <row r="12" spans="2:16">
      <c r="C12" s="5" t="s">
        <v>275</v>
      </c>
      <c r="D12" s="6">
        <f>AVERAGE(D6:D10)</f>
        <v>1770.4</v>
      </c>
      <c r="E12" s="5"/>
      <c r="F12" s="6"/>
      <c r="K12" s="5" t="s">
        <v>275</v>
      </c>
      <c r="L12" s="6">
        <f>AVERAGE(L6:L10)</f>
        <v>1711.4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0.66871595782894788</v>
      </c>
      <c r="E15" s="78">
        <f>1/D15</f>
        <v>1.4954032250801945</v>
      </c>
      <c r="G15" s="4" t="s">
        <v>0</v>
      </c>
      <c r="H15" s="57">
        <f>Data!D79</f>
        <v>67</v>
      </c>
      <c r="J15" s="77">
        <f>IF(Data!D76=1,Data!D87,IF(Data!D76=3,Data!J82))</f>
        <v>0.33128404217105212</v>
      </c>
      <c r="K15" s="78">
        <f>1/J15</f>
        <v>3.0185577109194695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0.83313296713029028</v>
      </c>
      <c r="E16" s="20">
        <f>IF(D16&lt;&gt;"",1/D16,"")</f>
        <v>1.2002885967224173</v>
      </c>
      <c r="J16" s="79">
        <f>IF(Data!D76=3,Data!J86+Data!J87+Data!J85,"")</f>
        <v>0.67086767045975981</v>
      </c>
      <c r="K16" s="20">
        <f>IF(J16&lt;&gt;"",1/J16,"")</f>
        <v>1.4906069319373803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0.32913232954024024</v>
      </c>
      <c r="E17" s="82">
        <f>IF(D17&lt;&gt;"",1/D17,"")</f>
        <v>3.0382916239097031</v>
      </c>
      <c r="J17" s="81">
        <f>IF(Data!D76=3,Data!J87,"")</f>
        <v>0.16686703286970975</v>
      </c>
      <c r="K17" s="82">
        <f>IF(J17&lt;&gt;"",1/J17,"")</f>
        <v>5.99279547794682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ROG</v>
      </c>
      <c r="E19" s="88" t="str">
        <f>VLOOKUP(Data!$D$70,Data!Excel_data,2,FALSE)</f>
        <v>EDG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0.67377618788832216</v>
      </c>
      <c r="E20" s="72">
        <f>Data!D87</f>
        <v>0.32622381211167784</v>
      </c>
      <c r="F20" s="73">
        <f>1/D20</f>
        <v>1.4841723675840992</v>
      </c>
      <c r="G20" s="73">
        <f>1/E20</f>
        <v>3.0653801558105296</v>
      </c>
      <c r="I20" s="66" t="str">
        <f>IF(Data!D76=3,"Over 2,5","")</f>
        <v>Over 2,5</v>
      </c>
      <c r="J20" s="72">
        <f>IF(Data!D76=3,Data!J85+Data!J86,"")</f>
        <v>0.50400063759005009</v>
      </c>
      <c r="K20" s="73">
        <f>IF(J20&lt;&gt;"",1/J20,"")</f>
        <v>1.9841244740912245</v>
      </c>
    </row>
    <row r="21" spans="1:13">
      <c r="C21" s="88" t="s">
        <v>375</v>
      </c>
      <c r="D21" s="72">
        <f>Data!D90</f>
        <v>0.4884891087822083</v>
      </c>
      <c r="E21" s="72">
        <f>Data!D89</f>
        <v>0.5115108912177917</v>
      </c>
      <c r="F21" s="73">
        <f t="shared" ref="F21:F22" si="0">1/D21</f>
        <v>2.0471285480508996</v>
      </c>
      <c r="G21" s="73">
        <f>1/E21</f>
        <v>1.9549925860214359</v>
      </c>
      <c r="I21" s="66" t="str">
        <f>IF(Data!D76=3,"Under 2,5","")</f>
        <v>Under 2,5</v>
      </c>
      <c r="J21" s="72">
        <f>IF(Data!D76=3,Data!J87+Data!J84,"")</f>
        <v>0.49599936240995002</v>
      </c>
      <c r="K21" s="73">
        <f>IF(J21&lt;&gt;"",1/J21,"")</f>
        <v>2.0161316239223042</v>
      </c>
    </row>
    <row r="22" spans="1:13">
      <c r="C22" s="88" t="s">
        <v>377</v>
      </c>
      <c r="D22" s="72">
        <f>D20</f>
        <v>0.67377618788832216</v>
      </c>
      <c r="E22" s="72">
        <f>E20</f>
        <v>0.32622381211167784</v>
      </c>
      <c r="F22" s="73">
        <f t="shared" si="0"/>
        <v>1.4841723675840992</v>
      </c>
      <c r="G22" s="73">
        <f t="shared" ref="G22" si="1">1/E22</f>
        <v>3.0653801558105296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Data!D69&amp;" last 5 games:"</f>
        <v>Rogue Warriors last 5 games:</v>
      </c>
      <c r="D24" s="110"/>
      <c r="E24" s="110"/>
      <c r="F24" s="110"/>
      <c r="G24" s="110"/>
      <c r="I24" s="110" t="str">
        <f>Data!D70&amp;" last 5 games:"</f>
        <v>EDward Gaming last 5 games:</v>
      </c>
      <c r="J24" s="110"/>
      <c r="K24" s="110"/>
      <c r="L24" s="110"/>
      <c r="M24" s="110"/>
    </row>
    <row r="25" spans="1:13">
      <c r="A25" s="21"/>
      <c r="C25" s="123" t="s">
        <v>364</v>
      </c>
      <c r="D25" s="123"/>
      <c r="E25" s="68" t="s">
        <v>365</v>
      </c>
      <c r="F25" s="123" t="s">
        <v>366</v>
      </c>
      <c r="G25" s="123"/>
      <c r="I25" s="123" t="s">
        <v>364</v>
      </c>
      <c r="J25" s="123"/>
      <c r="K25" s="68" t="s">
        <v>365</v>
      </c>
      <c r="L25" s="123" t="s">
        <v>366</v>
      </c>
      <c r="M25" s="123"/>
    </row>
    <row r="26" spans="1:13">
      <c r="A26" s="21"/>
      <c r="C26" s="121" t="str">
        <f>VLOOKUP(Data!$D$69,Last_games!Team_last_game_data_1,14,FALSE)</f>
        <v>Mouse,Flawless,Doinb,SmLz,Killua</v>
      </c>
      <c r="D26" s="121"/>
      <c r="E26" s="83" t="str">
        <f>VLOOKUP(Data!$D$69,Last_games!Team_last_game_data_1,15,FALSE)</f>
        <v>win</v>
      </c>
      <c r="F26" s="122" t="str">
        <f>VLOOKUP(Data!$D$69,Last_games!Team_last_game_data_1,16,FALSE)</f>
        <v>Vici Gaming</v>
      </c>
      <c r="G26" s="122"/>
      <c r="I26" s="121" t="str">
        <f>VLOOKUP(Data!$D$70,Last_games!Team_last_game_data_1,14,FALSE)</f>
        <v>Ray,Haro,Scout,Hope,Meiko</v>
      </c>
      <c r="J26" s="121"/>
      <c r="K26" s="83" t="str">
        <f>VLOOKUP(Data!$D$70,Last_games!Team_last_game_data_1,15,FALSE)</f>
        <v>lose</v>
      </c>
      <c r="L26" s="122" t="str">
        <f>VLOOKUP(Data!$D$70,Last_games!Team_last_game_data_1,16,FALSE)</f>
        <v>JD Gaming</v>
      </c>
      <c r="M26" s="122"/>
    </row>
    <row r="27" spans="1:13">
      <c r="A27" s="21"/>
      <c r="C27" s="121" t="str">
        <f>VLOOKUP(Data!$D$69,Last_games!Team_last_game_data_1,11,FALSE)</f>
        <v>Mouse,Flawless,Doinb,SmLz,Killua</v>
      </c>
      <c r="D27" s="121"/>
      <c r="E27" s="83" t="str">
        <f>VLOOKUP(Data!$D$69,Last_games!Team_last_game_data_1,12,FALSE)</f>
        <v>win</v>
      </c>
      <c r="F27" s="122" t="str">
        <f>VLOOKUP(Data!$D$69,Last_games!Team_last_game_data_1,13,FALSE)</f>
        <v>Vici Gaming</v>
      </c>
      <c r="G27" s="122"/>
      <c r="I27" s="121" t="str">
        <f>VLOOKUP(Data!$D$70,Last_games!Team_last_game_data_1,11,FALSE)</f>
        <v>Ray,Haro,Scout,Hope,Meiko</v>
      </c>
      <c r="J27" s="121"/>
      <c r="K27" s="83" t="str">
        <f>VLOOKUP(Data!$D$70,Last_games!Team_last_game_data_1,12,FALSE)</f>
        <v>win</v>
      </c>
      <c r="L27" s="122" t="str">
        <f>VLOOKUP(Data!$D$70,Last_games!Team_last_game_data_1,13,FALSE)</f>
        <v>JD Gaming</v>
      </c>
      <c r="M27" s="122"/>
    </row>
    <row r="28" spans="1:13">
      <c r="A28" s="21"/>
      <c r="C28" s="121" t="str">
        <f>VLOOKUP(Data!$D$69,Last_games!Team_last_game_data_1,8,FALSE)</f>
        <v>Mouse,Flawless,Doinb,SmLz,Killua</v>
      </c>
      <c r="D28" s="121"/>
      <c r="E28" s="83" t="str">
        <f>VLOOKUP(Data!$D$69,Last_games!Team_last_game_data_1,9,FALSE)</f>
        <v>win</v>
      </c>
      <c r="F28" s="122" t="str">
        <f>VLOOKUP(Data!$D$69,Last_games!Team_last_game_data_1,10,FALSE)</f>
        <v>LGD Gaming</v>
      </c>
      <c r="G28" s="122"/>
      <c r="I28" s="121" t="str">
        <f>VLOOKUP(Data!$D$70,Last_games!Team_last_game_data_1,8,FALSE)</f>
        <v>Ray,Haro,Scout,Hope,Meiko</v>
      </c>
      <c r="J28" s="121"/>
      <c r="K28" s="83" t="str">
        <f>VLOOKUP(Data!$D$70,Last_games!Team_last_game_data_1,9,FALSE)</f>
        <v>lose</v>
      </c>
      <c r="L28" s="122" t="str">
        <f>VLOOKUP(Data!$D$70,Last_games!Team_last_game_data_1,10,FALSE)</f>
        <v>JD Gaming</v>
      </c>
      <c r="M28" s="122"/>
    </row>
    <row r="29" spans="1:13">
      <c r="A29" s="21"/>
      <c r="C29" s="121" t="str">
        <f>VLOOKUP(Data!$D$69,Last_games!Team_last_game_data_1,5,FALSE)</f>
        <v>Mouse,Flawless,Doinb,SmLz,Killua</v>
      </c>
      <c r="D29" s="121"/>
      <c r="E29" s="83" t="str">
        <f>VLOOKUP(Data!$D$69,Last_games!Team_last_game_data_1,6,FALSE)</f>
        <v>win</v>
      </c>
      <c r="F29" s="122" t="str">
        <f>VLOOKUP(Data!$D$69,Last_games!Team_last_game_data_1,7,FALSE)</f>
        <v>LGD Gaming</v>
      </c>
      <c r="G29" s="122"/>
      <c r="I29" s="121" t="str">
        <f>VLOOKUP(Data!$D$70,Last_games!Team_last_game_data_1,5,FALSE)</f>
        <v>Ray,Haro,Scout,iBOY,Meiko</v>
      </c>
      <c r="J29" s="121"/>
      <c r="K29" s="83" t="str">
        <f>VLOOKUP(Data!$D$70,Last_games!Team_last_game_data_1,6,FALSE)</f>
        <v>lose</v>
      </c>
      <c r="L29" s="122" t="str">
        <f>VLOOKUP(Data!$D$70,Last_games!Team_last_game_data_1,7,FALSE)</f>
        <v>Invictus Gaming</v>
      </c>
      <c r="M29" s="122"/>
    </row>
    <row r="30" spans="1:13">
      <c r="A30" s="21"/>
      <c r="C30" s="121" t="str">
        <f>VLOOKUP(Data!$D$69,Last_games!Team_last_game_data_1,2,FALSE)</f>
        <v>Mouse,Flawless,Doinb,SmLz,Killua</v>
      </c>
      <c r="D30" s="121"/>
      <c r="E30" s="83" t="str">
        <f>VLOOKUP(Data!$D$69,Last_games!Team_last_game_data_1,3,FALSE)</f>
        <v>win</v>
      </c>
      <c r="F30" s="122" t="str">
        <f>VLOOKUP(Data!$D$69,Last_games!Team_last_game_data_1,4,FALSE)</f>
        <v>Bilibili Gaming</v>
      </c>
      <c r="G30" s="122"/>
      <c r="I30" s="121" t="str">
        <f>VLOOKUP(Data!$D$70,Last_games!Team_last_game_data_1,2,FALSE)</f>
        <v>Ray,Haro,Scout,iBOY,Meiko</v>
      </c>
      <c r="J30" s="121"/>
      <c r="K30" s="83" t="str">
        <f>VLOOKUP(Data!$D$70,Last_games!Team_last_game_data_1,3,FALSE)</f>
        <v>lose</v>
      </c>
      <c r="L30" s="122" t="str">
        <f>VLOOKUP(Data!$D$70,Last_games!Team_last_game_data_1,4,FALSE)</f>
        <v>Invictus 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2018-08-02T04:36:19Z</dcterms:modified>
</cp:coreProperties>
</file>