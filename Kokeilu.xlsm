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e-sports\"/>
    </mc:Choice>
  </mc:AlternateContent>
  <bookViews>
    <workbookView minimized="1" xWindow="0" yWindow="435" windowWidth="18375" windowHeight="17565" tabRatio="500" firstSheet="1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3" i="2" l="1"/>
  <c r="D69" i="2"/>
  <c r="D6" i="1"/>
  <c r="D7" i="1"/>
  <c r="D8" i="1"/>
  <c r="D9" i="1"/>
  <c r="D10" i="1"/>
  <c r="D12" i="1"/>
  <c r="D79" i="2"/>
  <c r="D80" i="2"/>
  <c r="F103" i="2"/>
  <c r="H3" i="1"/>
  <c r="G3" i="1"/>
  <c r="D70" i="2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refreshOnLoad="1" saveData="1">
    <textPr sourceFile="C:\Users\fitomg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sourceFile="C:\Users\fitomg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<sst xmlns="http://schemas.openxmlformats.org/spreadsheetml/2006/main" count="1908" uniqueCount="581">
  <si>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</si>
  <si>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</si>
  <si>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</si>
  <si>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</si>
  <si>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</si>
  <si>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</si>
  <si>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</si>
  <si>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</si>
  <si>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</si>
  <si>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</si>
  <si>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</si>
  <si>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</si>
  <si>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</si>
  <si>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</si>
  <si>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</si>
  <si>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</si>
  <si>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</si>
  <si>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</si>
  <si>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</si>
  <si>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</si>
  <si>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</si>
  <si>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</si>
  <si>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</si>
  <si>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</si>
  <si>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</si>
  <si>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</si>
  <si>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</si>
  <si>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</si>
  <si>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</si>
  <si>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</si>
  <si>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</si>
  <si>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</si>
  <si>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</si>
  <si>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</si>
  <si>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</si>
  <si>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</si>
  <si>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</si>
  <si>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</si>
  <si>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</si>
  <si>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</si>
  <si>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</si>
  <si>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</si>
  <si>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</si>
  <si>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</si>
  <si>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</si>
  <si>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</si>
  <si>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</si>
  <si>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</si>
  <si>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</si>
  <si>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</si>
  <si>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</si>
  <si>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</si>
  <si>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</si>
  <si>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</si>
  <si>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</si>
  <si>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</si>
  <si>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</si>
  <si>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</si>
  <si>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</si>
  <si>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</si>
  <si>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</si>
  <si>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</si>
  <si>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</si>
  <si>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</si>
  <si>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</si>
  <si>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</si>
  <si>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</si>
  <si>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</si>
  <si>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</si>
  <si>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</si>
  <si>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</si>
  <si>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</si>
  <si>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</si>
  <si>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</si>
  <si>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</si>
  <si>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</si>
  <si>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</si>
  <si>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</si>
  <si>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</si>
  <si>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</si>
  <si>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</si>
  <si>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</si>
  <si>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</si>
  <si>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</si>
  <si>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</si>
  <si>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</si>
  <si>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</si>
  <si>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</si>
  <si>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</si>
  <si>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</si>
  <si>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</si>
  <si>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</si>
  <si>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</si>
  <si>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</si>
  <si>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</si>
  <si>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</si>
  <si>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</si>
  <si>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</si>
  <si>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</si>
  <si>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</si>
  <si>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</si>
  <si>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</si>
  <si>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</si>
  <si>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</si>
  <si>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</si>
  <si>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</si>
  <si>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</si>
  <si>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</si>
  <si>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</si>
  <si>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</si>
  <si>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</si>
  <si>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</si>
  <si>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</si>
  <si>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</si>
  <si>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</si>
  <si>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</si>
  <si>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</si>
  <si>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</si>
  <si>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</si>
  <si>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</si>
  <si>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</si>
  <si>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</si>
  <si>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</si>
  <si>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</si>
  <si>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</si>
  <si>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</si>
  <si>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</si>
  <si>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</si>
  <si>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</si>
  <si>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</si>
  <si>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</si>
  <si>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</si>
  <si>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</si>
  <si>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</si>
  <si>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</si>
  <si>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</si>
  <si>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</si>
  <si>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</si>
  <si>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</si>
  <si>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</si>
  <si>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</si>
  <si>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</si>
  <si>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</si>
  <si>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</si>
  <si>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</si>
  <si>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</si>
  <si>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</si>
  <si>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</si>
  <si>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</si>
  <si>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</si>
  <si>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</si>
  <si>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</si>
  <si>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</si>
  <si>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</si>
  <si>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</si>
  <si>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</si>
  <si>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</si>
  <si>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</si>
  <si>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</si>
  <si>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</si>
  <si>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</si>
  <si>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</si>
  <si>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</si>
  <si>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</si>
  <si>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</si>
  <si>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</si>
  <si>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</si>
  <si>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</si>
  <si>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</si>
  <si>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</si>
  <si>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</si>
  <si>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</si>
  <si>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</si>
  <si>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</si>
  <si>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</si>
  <si>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</si>
  <si>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</si>
  <si>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</si>
  <si>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</si>
  <si>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</si>
  <si>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</si>
  <si>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</si>
  <si>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</si>
  <si>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</si>
  <si>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</si>
  <si>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</si>
  <si>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</si>
  <si>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</si>
  <si>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</si>
  <si>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</si>
  <si>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</si>
  <si>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</si>
  <si>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</si>
  <si>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</si>
  <si>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</si>
  <si>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</si>
  <si>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</si>
  <si>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</si>
  <si>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</si>
  <si>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</si>
  <si>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</si>
  <si>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</si>
  <si>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</si>
  <si>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</si>
  <si>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</si>
  <si>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</si>
  <si>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</si>
  <si>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</si>
  <si>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</si>
  <si>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</si>
  <si>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</si>
  <si>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</si>
  <si>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</si>
  <si>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</si>
  <si>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</si>
  <si>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</si>
  <si>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</si>
  <si>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</si>
  <si>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</si>
  <si>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</si>
  <si>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</si>
  <si>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</si>
  <si>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</si>
  <si>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</si>
  <si>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</si>
  <si>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</si>
  <si>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</si>
  <si>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</si>
  <si>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</si>
  <si>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</si>
  <si>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</si>
  <si>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</si>
  <si>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</si>
  <si>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</si>
  <si>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</si>
  <si>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</si>
  <si>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</si>
  <si>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</si>
  <si>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</si>
  <si>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</si>
  <si>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</si>
  <si>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</si>
  <si>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</si>
  <si>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</si>
  <si>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</si>
  <si>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</si>
  <si>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</si>
  <si>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</si>
  <si>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</si>
  <si>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</si>
  <si>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</si>
  <si>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</si>
  <si>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</si>
  <si>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</si>
  <si>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</si>
  <si>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</si>
  <si>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</si>
  <si>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</si>
  <si>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</si>
  <si>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</si>
  <si>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</si>
  <si>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</si>
  <si>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</si>
  <si>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</si>
  <si>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</si>
  <si>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</si>
  <si>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</si>
  <si>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</si>
  <si>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</si>
  <si>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</si>
  <si>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</si>
  <si>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</si>
  <si>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</si>
  <si>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</si>
  <si>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</si>
  <si>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</si>
  <si>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</si>
  <si>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</si>
  <si>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</si>
  <si>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</si>
  <si>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</si>
  <si>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</si>
  <si>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</si>
  <si>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</si>
  <si>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</si>
  <si>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</si>
  <si>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</si>
  <si>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</si>
  <si>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</si>
  <si>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</si>
  <si>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</si>
  <si>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</si>
  <si>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</si>
  <si>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</si>
  <si>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</si>
  <si>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</si>
  <si>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</si>
  <si>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</si>
  <si>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</si>
  <si>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</si>
  <si>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</si>
  <si>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</si>
  <si>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</si>
  <si>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</si>
  <si>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</si>
  <si>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</si>
  <si>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</si>
  <si>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</si>
  <si>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</si>
  <si>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</si>
  <si>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</si>
  <si>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</si>
  <si>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</si>
  <si>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</si>
  <si>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</si>
  <si>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</si>
  <si>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</si>
  <si>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</si>
  <si>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</si>
  <si>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</si>
  <si>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</si>
  <si>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</si>
  <si>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</si>
  <si>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</si>
  <si>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</si>
  <si>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</si>
  <si>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</si>
  <si>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</si>
  <si>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</si>
  <si>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</si>
  <si>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</si>
  <si>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</si>
  <si>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</si>
  <si>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</si>
  <si>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</si>
  <si>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</si>
  <si>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</si>
  <si>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</si>
  <si>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</si>
  <si>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</si>
  <si>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</si>
  <si>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</si>
  <si>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</si>
  <si>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</si>
  <si>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</si>
  <si>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</si>
  <si>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</si>
  <si>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</si>
  <si>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</si>
  <si>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</si>
  <si>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</si>
  <si>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</si>
  <si>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</si>
  <si>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</si>
  <si>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</si>
  <si>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</si>
  <si>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</si>
  <si>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</si>
  <si>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</si>
  <si>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</si>
  <si>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</si>
  <si>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Whiteknight,Kold,Exileh,Samux,Totoro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</si>
  <si>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</si>
  <si>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</si>
  <si>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</si>
  <si>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</si>
  <si>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</si>
  <si>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</si>
  <si>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</si>
  <si>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</si>
  <si>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</si>
  <si>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</si>
  <si>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</si>
  <si>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</si>
  <si>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</si>
  <si>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</si>
  <si>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</si>
  <si>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</si>
  <si>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</si>
  <si>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</si>
  <si>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</si>
  <si>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</si>
  <si>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</si>
  <si>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</si>
  <si>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</si>
  <si>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</si>
  <si>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</si>
  <si>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</si>
  <si>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</si>
  <si>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</si>
  <si>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</si>
  <si>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</si>
  <si>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</si>
  <si>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Mlxg</t>
  </si>
  <si>
    <t>Condi</t>
  </si>
  <si>
    <t>H4cker</t>
  </si>
  <si>
    <t>Loong</t>
  </si>
  <si>
    <t>Pride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</si>
  <si>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</si>
  <si>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</si>
  <si>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</si>
  <si>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</si>
  <si>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</si>
  <si>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</si>
  <si>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</si>
  <si>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</si>
  <si>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</si>
  <si>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</si>
  <si>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</si>
  <si>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</si>
  <si>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</si>
  <si>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</si>
  <si>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</si>
  <si>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</si>
  <si>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</si>
  <si>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</si>
  <si>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</si>
  <si>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</si>
  <si>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</si>
  <si>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</si>
  <si>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</si>
  <si>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</si>
  <si>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</si>
  <si>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</si>
  <si>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</si>
  <si>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</si>
  <si>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</si>
  <si>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</si>
  <si>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</si>
  <si>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</si>
  <si>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</si>
  <si>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</si>
  <si>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</si>
  <si>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</si>
  <si>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</si>
  <si>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</si>
  <si>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</si>
  <si>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</si>
  <si>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</si>
  <si>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</si>
  <si>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</si>
  <si>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</si>
  <si>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</si>
  <si>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</si>
  <si>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</si>
  <si>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</si>
  <si>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</si>
  <si>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</si>
  <si>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</si>
  <si>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</si>
  <si>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</si>
  <si>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</si>
  <si>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</si>
  <si>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</si>
  <si>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</si>
  <si>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</si>
  <si>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</si>
  <si>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</si>
  <si>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</si>
  <si>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</si>
  <si>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</si>
  <si>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</si>
  <si>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</si>
  <si>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</si>
  <si>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</si>
  <si>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</si>
  <si>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</si>
  <si>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</si>
  <si>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</si>
  <si>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</si>
  <si>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</si>
  <si>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</si>
  <si>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</si>
  <si>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</si>
  <si>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</si>
  <si>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</si>
  <si>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</si>
  <si>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</si>
  <si>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</si>
  <si>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</si>
  <si>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</si>
  <si>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</si>
  <si>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</si>
  <si>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</si>
  <si>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</si>
  <si>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</si>
  <si>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</si>
  <si>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</si>
  <si>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</si>
  <si>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</si>
  <si>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</si>
  <si>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</si>
  <si>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</si>
  <si>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</si>
  <si>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Stark,Slay,YiJin,Warzone,RonOP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</si>
  <si>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</si>
  <si>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</si>
  <si>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</si>
  <si>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</si>
  <si>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</si>
  <si>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</si>
  <si>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Licorice,Svenskeren,Goldenglue,Jensen,Smoothie</t>
  </si>
  <si>
    <t>Dhokla,Akaadian,PowerOfEvil,Arrow,Big</t>
  </si>
  <si>
    <t>Allorim,PowerOfEvil,Gate,Arrow,Big</t>
  </si>
  <si>
    <t>Xiyang,Mountain,icon,Xuanxuanpi,Five</t>
  </si>
  <si>
    <t>sOAZ,Broxah,Caps,Bwipo,Hylissang</t>
  </si>
  <si>
    <t>Wunder,Perkz,Jankos,Hjarnan,Wadid</t>
  </si>
  <si>
    <t>Lourlo,Contractz,Mickey,Deftly,Matt</t>
  </si>
  <si>
    <t>G-Rex</t>
  </si>
  <si>
    <t>Brandini,Levi,Ryu,Cody Sun,Aphromoo</t>
  </si>
  <si>
    <t>LetMe,Karsa,xiaohu,Zz1tai,Ming</t>
  </si>
  <si>
    <t>LetMe,Mlxg,xiaohu,Zz1tai,Ming</t>
  </si>
  <si>
    <t>Zz1tai,Mlxg,xiaohu,Able,Ming</t>
  </si>
  <si>
    <t>LetMe,Mlxg,xiaohu,Able,Ming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</si>
  <si>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</si>
  <si>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</si>
  <si>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</si>
  <si>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</si>
  <si>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Freecss,Swift,Coco,Snow,Caveman</t>
  </si>
  <si>
    <t>MMd,MooJin,Maple,Betty,SwordArt</t>
  </si>
  <si>
    <t>Griffin</t>
  </si>
  <si>
    <t>Flandre,SofM,Guoguo,Light,Maestro</t>
  </si>
  <si>
    <t>Hauntzer,Bjergsen,Grigne,Zven,Mithy</t>
  </si>
  <si>
    <t>Khan,Cuzz,Bdd,PraY,GorillA</t>
  </si>
  <si>
    <t>Licorice,Svenskeren,Jensen,Sneaky,Zeyzal</t>
  </si>
  <si>
    <t>957,Condi,xiye,Mystic,Celestial</t>
  </si>
  <si>
    <t>Elwind,Mojito,MagiFelix,Madness,Japone</t>
  </si>
  <si>
    <t>Elwind,Madness,Mojito,MagiFelix,Japone</t>
  </si>
  <si>
    <t>Panky,Kirei,Humanoid,Snitch,LongB</t>
  </si>
  <si>
    <t>Panky,Kirei,Humanoid,Berentt,LongB</t>
  </si>
  <si>
    <t>Huni,Dardoch,FeniX,Altec,Adrian</t>
  </si>
  <si>
    <t>Huni,Dardoch,Damonte,Altec,Feng</t>
  </si>
  <si>
    <t>XiaoAL,H4cker,Angel,Fury,Yoon</t>
  </si>
  <si>
    <t>Whiteknight,Exileh,Kold,Neon,Totoro</t>
  </si>
  <si>
    <t>Whiteknight,Kold,Exileh,Neon,Totoro</t>
  </si>
  <si>
    <t>Impact,Pobelter,Xmithie,Doublelift,Olleh</t>
  </si>
  <si>
    <t>Yondu</t>
  </si>
  <si>
    <t>Aiming</t>
  </si>
  <si>
    <t>Gen.G</t>
  </si>
  <si>
    <t>CuVee,Ambition,Fly,Ruler,CoreJJ</t>
  </si>
  <si>
    <t>Celestial</t>
  </si>
  <si>
    <t>Able</t>
  </si>
  <si>
    <t>FTV Esports</t>
  </si>
  <si>
    <t>Cherry Gaming</t>
  </si>
  <si>
    <t>Hong Kong Attitude</t>
  </si>
  <si>
    <t>MAD Team</t>
  </si>
  <si>
    <t>Maha,Yondu,Ian,Pilot,Motive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</si>
  <si>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</si>
  <si>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</si>
  <si>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</si>
  <si>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</si>
  <si>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</si>
  <si>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</si>
  <si>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</si>
  <si>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</si>
  <si>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</si>
  <si>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</si>
  <si>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</si>
  <si>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</si>
  <si>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</si>
  <si>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</si>
  <si>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</si>
  <si>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Mountain</t>
  </si>
  <si>
    <t>Xuanxuanpi</t>
  </si>
  <si>
    <t>Angel</t>
  </si>
  <si>
    <t>Sword,Tarzan,Chovy,Viper,Lehends</t>
  </si>
  <si>
    <t>Lehends</t>
  </si>
  <si>
    <t>957,Pepper,xiye,Mystic,Celestial</t>
  </si>
  <si>
    <t>Xiyang,World6,icon,Xuanxuanpi,Five</t>
  </si>
  <si>
    <t>Pirean</t>
  </si>
  <si>
    <t>Effort</t>
  </si>
  <si>
    <t>Hanwha Life Esports</t>
  </si>
  <si>
    <t>HLE</t>
  </si>
  <si>
    <t>Nova</t>
  </si>
  <si>
    <t>Mightybear,Kuzan</t>
  </si>
  <si>
    <t>Duke</t>
  </si>
  <si>
    <t>Light</t>
  </si>
  <si>
    <t>Maestro</t>
  </si>
  <si>
    <t>Chieftain</t>
  </si>
  <si>
    <t>Mole</t>
  </si>
  <si>
    <t>Max KR,Yondu,Ian,Pilot,Motive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</si>
</sst>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19" val="3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22" val="3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16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refreshOnLoad="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5"/>
  <sheetViews>
    <sheetView workbookViewId="0"/>
  </sheetViews>
  <sheetFormatPr defaultColWidth="11" defaultRowHeight="15.75"/>
  <cols>
    <col min="1" max="1" width="17.75" bestFit="1" customWidth="1"/>
    <col min="2" max="2" width="44.375" bestFit="1" customWidth="1"/>
    <col min="3" max="3" width="4.25" bestFit="1" customWidth="1"/>
    <col min="4" max="4" width="17.75" bestFit="1" customWidth="1"/>
    <col min="5" max="5" width="44.375" bestFit="1" customWidth="1"/>
    <col min="6" max="6" width="4.25" bestFit="1" customWidth="1"/>
    <col min="7" max="7" width="17.75" bestFit="1" customWidth="1"/>
    <col min="8" max="8" width="44.375" bestFit="1" customWidth="1"/>
    <col min="9" max="9" width="4.25" bestFit="1" customWidth="1"/>
    <col min="10" max="10" width="17.75" bestFit="1" customWidth="1"/>
    <col min="11" max="11" width="44.375" bestFit="1" customWidth="1"/>
    <col min="12" max="12" width="4.25" bestFit="1" customWidth="1"/>
    <col min="13" max="13" width="17.75" bestFit="1" customWidth="1"/>
    <col min="14" max="14" width="44.375" bestFit="1" customWidth="1"/>
    <col min="15" max="15" width="4.25" bestFit="1" customWidth="1"/>
    <col min="16" max="16" width="17.75" bestFit="1" customWidth="1"/>
  </cols>
  <sheetData>
    <row r="1" spans="1:16">
      <c r="A1" t="s">
        <v>2</v>
      </c>
      <c r="B1" t="s">
        <v>485</v>
      </c>
      <c r="C1" t="s">
        <v>346</v>
      </c>
      <c r="D1" t="s">
        <v>102</v>
      </c>
      <c r="E1" t="s">
        <v>485</v>
      </c>
      <c r="F1" t="s">
        <v>345</v>
      </c>
      <c r="G1" t="s">
        <v>102</v>
      </c>
      <c r="H1" t="s">
        <v>485</v>
      </c>
      <c r="I1" t="s">
        <v>345</v>
      </c>
      <c r="J1" t="s">
        <v>571</v>
      </c>
      <c r="K1" t="s">
        <v>485</v>
      </c>
      <c r="L1" t="s">
        <v>346</v>
      </c>
      <c r="M1" t="s">
        <v>571</v>
      </c>
      <c r="N1" t="s">
        <v>485</v>
      </c>
      <c r="O1" t="s">
        <v>346</v>
      </c>
      <c r="P1" t="s">
        <v>571</v>
      </c>
    </row>
    <row r="2" spans="1:16">
      <c r="A2" t="s">
        <v>8</v>
      </c>
      <c r="B2" t="s">
        <v>451</v>
      </c>
      <c r="C2" t="s">
        <v>346</v>
      </c>
      <c r="D2" t="s">
        <v>95</v>
      </c>
      <c r="E2" t="s">
        <v>451</v>
      </c>
      <c r="F2" t="s">
        <v>345</v>
      </c>
      <c r="G2" t="s">
        <v>95</v>
      </c>
      <c r="H2" t="s">
        <v>451</v>
      </c>
      <c r="I2" t="s">
        <v>346</v>
      </c>
      <c r="J2" t="s">
        <v>181</v>
      </c>
      <c r="K2" t="s">
        <v>451</v>
      </c>
      <c r="L2" t="s">
        <v>345</v>
      </c>
      <c r="M2" t="s">
        <v>181</v>
      </c>
      <c r="N2" t="s">
        <v>451</v>
      </c>
      <c r="O2" t="s">
        <v>346</v>
      </c>
      <c r="P2" t="s">
        <v>181</v>
      </c>
    </row>
    <row r="3" spans="1:16">
      <c r="A3" t="s">
        <v>15</v>
      </c>
      <c r="B3" t="s">
        <v>511</v>
      </c>
      <c r="C3" t="s">
        <v>346</v>
      </c>
      <c r="D3" t="s">
        <v>84</v>
      </c>
      <c r="E3" t="s">
        <v>512</v>
      </c>
      <c r="F3" t="s">
        <v>345</v>
      </c>
      <c r="G3" t="s">
        <v>84</v>
      </c>
      <c r="H3" t="s">
        <v>513</v>
      </c>
      <c r="I3" t="s">
        <v>346</v>
      </c>
      <c r="J3" t="s">
        <v>84</v>
      </c>
      <c r="K3" t="s">
        <v>511</v>
      </c>
      <c r="L3" t="s">
        <v>346</v>
      </c>
      <c r="M3" t="s">
        <v>192</v>
      </c>
      <c r="N3" t="s">
        <v>510</v>
      </c>
      <c r="O3" t="s">
        <v>346</v>
      </c>
      <c r="P3" t="s">
        <v>192</v>
      </c>
    </row>
    <row r="4" spans="1:16">
      <c r="A4" t="s">
        <v>422</v>
      </c>
      <c r="B4" t="s">
        <v>486</v>
      </c>
      <c r="C4" t="s">
        <v>345</v>
      </c>
      <c r="D4" t="s">
        <v>489</v>
      </c>
      <c r="E4" t="s">
        <v>486</v>
      </c>
      <c r="F4" t="s">
        <v>345</v>
      </c>
      <c r="G4" t="s">
        <v>438</v>
      </c>
      <c r="H4" t="s">
        <v>486</v>
      </c>
      <c r="I4" t="s">
        <v>345</v>
      </c>
      <c r="J4" t="s">
        <v>403</v>
      </c>
      <c r="K4" t="s">
        <v>486</v>
      </c>
      <c r="L4" t="s">
        <v>345</v>
      </c>
      <c r="M4" t="s">
        <v>429</v>
      </c>
      <c r="N4" t="s">
        <v>486</v>
      </c>
      <c r="O4" t="s">
        <v>345</v>
      </c>
      <c r="P4" t="s">
        <v>433</v>
      </c>
    </row>
    <row r="5" spans="1:16">
      <c r="A5" t="s">
        <v>27</v>
      </c>
      <c r="B5" t="s">
        <v>452</v>
      </c>
      <c r="C5" t="s">
        <v>345</v>
      </c>
      <c r="D5" t="s">
        <v>520</v>
      </c>
      <c r="E5" t="s">
        <v>452</v>
      </c>
      <c r="F5" t="s">
        <v>346</v>
      </c>
      <c r="G5" t="s">
        <v>520</v>
      </c>
      <c r="H5" t="s">
        <v>452</v>
      </c>
      <c r="I5" t="s">
        <v>345</v>
      </c>
      <c r="J5" t="s">
        <v>520</v>
      </c>
      <c r="K5" t="s">
        <v>452</v>
      </c>
      <c r="L5" t="s">
        <v>345</v>
      </c>
      <c r="M5" t="s">
        <v>538</v>
      </c>
      <c r="N5" t="s">
        <v>452</v>
      </c>
      <c r="O5" t="s">
        <v>345</v>
      </c>
      <c r="P5" t="s">
        <v>538</v>
      </c>
    </row>
    <row r="6" spans="1:16">
      <c r="A6" t="s">
        <v>520</v>
      </c>
      <c r="B6" t="s">
        <v>565</v>
      </c>
      <c r="C6" t="s">
        <v>346</v>
      </c>
      <c r="D6" t="s">
        <v>27</v>
      </c>
      <c r="E6" t="s">
        <v>565</v>
      </c>
      <c r="F6" t="s">
        <v>345</v>
      </c>
      <c r="G6" t="s">
        <v>27</v>
      </c>
      <c r="H6" t="s">
        <v>565</v>
      </c>
      <c r="I6" t="s">
        <v>346</v>
      </c>
      <c r="J6" t="s">
        <v>27</v>
      </c>
      <c r="K6" t="s">
        <v>565</v>
      </c>
      <c r="L6" t="s">
        <v>345</v>
      </c>
      <c r="M6" t="s">
        <v>127</v>
      </c>
      <c r="N6" t="s">
        <v>565</v>
      </c>
      <c r="O6" t="s">
        <v>345</v>
      </c>
      <c r="P6" t="s">
        <v>127</v>
      </c>
    </row>
    <row r="7" spans="1:16">
      <c r="A7" t="s">
        <v>34</v>
      </c>
      <c r="B7" t="s">
        <v>487</v>
      </c>
      <c r="C7" t="s">
        <v>346</v>
      </c>
      <c r="D7" t="s">
        <v>348</v>
      </c>
      <c r="E7" t="s">
        <v>514</v>
      </c>
      <c r="F7" t="s">
        <v>345</v>
      </c>
      <c r="G7" t="s">
        <v>349</v>
      </c>
      <c r="H7" t="s">
        <v>487</v>
      </c>
      <c r="I7" t="s">
        <v>345</v>
      </c>
      <c r="J7" t="s">
        <v>120</v>
      </c>
      <c r="K7" t="s">
        <v>487</v>
      </c>
      <c r="L7" t="s">
        <v>345</v>
      </c>
      <c r="M7" t="s">
        <v>60</v>
      </c>
      <c r="N7" t="s">
        <v>514</v>
      </c>
      <c r="O7" t="s">
        <v>345</v>
      </c>
      <c r="P7" t="s">
        <v>211</v>
      </c>
    </row>
    <row r="8" spans="1:16">
      <c r="A8" t="s">
        <v>41</v>
      </c>
      <c r="B8" t="s">
        <v>453</v>
      </c>
      <c r="C8" t="s">
        <v>345</v>
      </c>
      <c r="D8" t="s">
        <v>152</v>
      </c>
      <c r="E8" t="s">
        <v>453</v>
      </c>
      <c r="F8" t="s">
        <v>345</v>
      </c>
      <c r="G8" t="s">
        <v>152</v>
      </c>
      <c r="H8" t="s">
        <v>453</v>
      </c>
      <c r="I8" t="s">
        <v>346</v>
      </c>
      <c r="J8" t="s">
        <v>192</v>
      </c>
      <c r="K8" t="s">
        <v>453</v>
      </c>
      <c r="L8" t="s">
        <v>345</v>
      </c>
      <c r="M8" t="s">
        <v>192</v>
      </c>
      <c r="N8" t="s">
        <v>453</v>
      </c>
      <c r="O8" t="s">
        <v>346</v>
      </c>
      <c r="P8" t="s">
        <v>192</v>
      </c>
    </row>
    <row r="9" spans="1:16">
      <c r="A9" t="s">
        <v>411</v>
      </c>
      <c r="B9" t="s">
        <v>454</v>
      </c>
      <c r="C9" t="s">
        <v>346</v>
      </c>
      <c r="D9" t="s">
        <v>429</v>
      </c>
      <c r="E9" t="s">
        <v>454</v>
      </c>
      <c r="F9" t="s">
        <v>346</v>
      </c>
      <c r="G9" t="s">
        <v>403</v>
      </c>
      <c r="H9" t="s">
        <v>454</v>
      </c>
      <c r="I9" t="s">
        <v>345</v>
      </c>
      <c r="J9" t="s">
        <v>406</v>
      </c>
      <c r="K9" t="s">
        <v>455</v>
      </c>
      <c r="L9" t="s">
        <v>346</v>
      </c>
      <c r="M9" t="s">
        <v>422</v>
      </c>
      <c r="N9" t="s">
        <v>454</v>
      </c>
      <c r="O9" t="s">
        <v>346</v>
      </c>
      <c r="P9" t="s">
        <v>416</v>
      </c>
    </row>
    <row r="10" spans="1:16">
      <c r="A10" t="s">
        <v>433</v>
      </c>
      <c r="B10" t="s">
        <v>488</v>
      </c>
      <c r="C10" t="s">
        <v>346</v>
      </c>
      <c r="D10" t="s">
        <v>416</v>
      </c>
      <c r="E10" t="s">
        <v>488</v>
      </c>
      <c r="F10" t="s">
        <v>346</v>
      </c>
      <c r="G10" t="s">
        <v>406</v>
      </c>
      <c r="H10" t="s">
        <v>488</v>
      </c>
      <c r="I10" t="s">
        <v>345</v>
      </c>
      <c r="J10" t="s">
        <v>489</v>
      </c>
      <c r="K10" t="s">
        <v>488</v>
      </c>
      <c r="L10" t="s">
        <v>345</v>
      </c>
      <c r="M10" t="s">
        <v>438</v>
      </c>
      <c r="N10" t="s">
        <v>488</v>
      </c>
      <c r="O10" t="s">
        <v>346</v>
      </c>
      <c r="P10" t="s">
        <v>422</v>
      </c>
    </row>
    <row r="11" spans="1:16">
      <c r="A11" t="s">
        <v>403</v>
      </c>
      <c r="B11" t="s">
        <v>490</v>
      </c>
      <c r="C11" t="s">
        <v>346</v>
      </c>
      <c r="D11" t="s">
        <v>438</v>
      </c>
      <c r="E11" t="s">
        <v>515</v>
      </c>
      <c r="F11" t="s">
        <v>345</v>
      </c>
      <c r="G11" t="s">
        <v>416</v>
      </c>
      <c r="H11" t="s">
        <v>515</v>
      </c>
      <c r="I11" t="s">
        <v>346</v>
      </c>
      <c r="J11" t="s">
        <v>422</v>
      </c>
      <c r="K11" t="s">
        <v>515</v>
      </c>
      <c r="L11" t="s">
        <v>346</v>
      </c>
      <c r="M11" t="s">
        <v>406</v>
      </c>
      <c r="N11" t="s">
        <v>515</v>
      </c>
      <c r="O11" t="s">
        <v>345</v>
      </c>
      <c r="P11" t="s">
        <v>429</v>
      </c>
    </row>
    <row r="12" spans="1:16">
      <c r="A12" t="s">
        <v>54</v>
      </c>
      <c r="B12" t="s">
        <v>491</v>
      </c>
      <c r="C12" t="s">
        <v>345</v>
      </c>
      <c r="D12" t="s">
        <v>216</v>
      </c>
      <c r="E12" t="s">
        <v>491</v>
      </c>
      <c r="F12" t="s">
        <v>345</v>
      </c>
      <c r="G12" t="s">
        <v>157</v>
      </c>
      <c r="H12" t="s">
        <v>491</v>
      </c>
      <c r="I12" t="s">
        <v>345</v>
      </c>
      <c r="J12" t="s">
        <v>157</v>
      </c>
      <c r="K12" t="s">
        <v>491</v>
      </c>
      <c r="L12" t="s">
        <v>345</v>
      </c>
      <c r="M12" t="s">
        <v>229</v>
      </c>
      <c r="N12" t="s">
        <v>491</v>
      </c>
      <c r="O12" t="s">
        <v>345</v>
      </c>
      <c r="P12" t="s">
        <v>229</v>
      </c>
    </row>
    <row r="13" spans="1:16">
      <c r="A13" t="s">
        <v>60</v>
      </c>
      <c r="B13" t="s">
        <v>401</v>
      </c>
      <c r="C13" t="s">
        <v>346</v>
      </c>
      <c r="D13" t="s">
        <v>140</v>
      </c>
      <c r="E13" t="s">
        <v>401</v>
      </c>
      <c r="F13" t="s">
        <v>346</v>
      </c>
      <c r="G13" t="s">
        <v>348</v>
      </c>
      <c r="H13" t="s">
        <v>401</v>
      </c>
      <c r="I13" t="s">
        <v>346</v>
      </c>
      <c r="J13" t="s">
        <v>211</v>
      </c>
      <c r="K13" t="s">
        <v>401</v>
      </c>
      <c r="L13" t="s">
        <v>346</v>
      </c>
      <c r="M13" t="s">
        <v>34</v>
      </c>
      <c r="N13" t="s">
        <v>401</v>
      </c>
      <c r="O13" t="s">
        <v>346</v>
      </c>
      <c r="P13" t="s">
        <v>349</v>
      </c>
    </row>
    <row r="14" spans="1:16">
      <c r="A14" t="s">
        <v>349</v>
      </c>
      <c r="B14" t="s">
        <v>492</v>
      </c>
      <c r="C14" t="s">
        <v>346</v>
      </c>
      <c r="D14" t="s">
        <v>198</v>
      </c>
      <c r="E14" t="s">
        <v>492</v>
      </c>
      <c r="F14" t="s">
        <v>346</v>
      </c>
      <c r="G14" t="s">
        <v>34</v>
      </c>
      <c r="H14" t="s">
        <v>492</v>
      </c>
      <c r="I14" t="s">
        <v>345</v>
      </c>
      <c r="J14" t="s">
        <v>222</v>
      </c>
      <c r="K14" t="s">
        <v>492</v>
      </c>
      <c r="L14" t="s">
        <v>346</v>
      </c>
      <c r="M14" t="s">
        <v>120</v>
      </c>
      <c r="N14" t="s">
        <v>492</v>
      </c>
      <c r="O14" t="s">
        <v>345</v>
      </c>
      <c r="P14" t="s">
        <v>60</v>
      </c>
    </row>
    <row r="15" spans="1:16">
      <c r="A15" t="s">
        <v>416</v>
      </c>
      <c r="B15" t="s">
        <v>493</v>
      </c>
      <c r="C15" t="s">
        <v>345</v>
      </c>
      <c r="D15" t="s">
        <v>433</v>
      </c>
      <c r="E15" t="s">
        <v>493</v>
      </c>
      <c r="F15" t="s">
        <v>346</v>
      </c>
      <c r="G15" t="s">
        <v>403</v>
      </c>
      <c r="H15" t="s">
        <v>493</v>
      </c>
      <c r="I15" t="s">
        <v>346</v>
      </c>
      <c r="J15" t="s">
        <v>406</v>
      </c>
      <c r="K15" t="s">
        <v>493</v>
      </c>
      <c r="L15" t="s">
        <v>346</v>
      </c>
      <c r="M15" t="s">
        <v>489</v>
      </c>
      <c r="N15" t="s">
        <v>493</v>
      </c>
      <c r="O15" t="s">
        <v>346</v>
      </c>
      <c r="P15" t="s">
        <v>438</v>
      </c>
    </row>
    <row r="16" spans="1:16">
      <c r="A16" t="s">
        <v>457</v>
      </c>
      <c r="B16" t="s">
        <v>482</v>
      </c>
      <c r="C16" t="s">
        <v>345</v>
      </c>
      <c r="D16" t="s">
        <v>542</v>
      </c>
      <c r="E16" t="s">
        <v>494</v>
      </c>
      <c r="F16" t="s">
        <v>346</v>
      </c>
      <c r="G16" t="s">
        <v>542</v>
      </c>
      <c r="H16" t="s">
        <v>482</v>
      </c>
      <c r="I16" t="s">
        <v>345</v>
      </c>
      <c r="J16" t="s">
        <v>542</v>
      </c>
      <c r="K16" t="s">
        <v>482</v>
      </c>
      <c r="L16" t="s">
        <v>345</v>
      </c>
      <c r="M16" t="s">
        <v>543</v>
      </c>
      <c r="N16" t="s">
        <v>482</v>
      </c>
      <c r="O16" t="s">
        <v>345</v>
      </c>
      <c r="P16" t="s">
        <v>543</v>
      </c>
    </row>
    <row r="17" spans="1:16">
      <c r="A17" t="s">
        <v>348</v>
      </c>
      <c r="B17" t="s">
        <v>495</v>
      </c>
      <c r="C17" t="s">
        <v>345</v>
      </c>
      <c r="D17" t="s">
        <v>34</v>
      </c>
      <c r="E17" t="s">
        <v>495</v>
      </c>
      <c r="F17" t="s">
        <v>345</v>
      </c>
      <c r="G17" t="s">
        <v>60</v>
      </c>
      <c r="H17" t="s">
        <v>495</v>
      </c>
      <c r="I17" t="s">
        <v>346</v>
      </c>
      <c r="J17" t="s">
        <v>140</v>
      </c>
      <c r="K17" t="s">
        <v>495</v>
      </c>
      <c r="L17" t="s">
        <v>346</v>
      </c>
      <c r="M17" t="s">
        <v>222</v>
      </c>
      <c r="N17" t="s">
        <v>495</v>
      </c>
      <c r="O17" t="s">
        <v>346</v>
      </c>
      <c r="P17" t="s">
        <v>120</v>
      </c>
    </row>
    <row r="18" spans="1:16">
      <c r="A18" t="s">
        <v>299</v>
      </c>
      <c r="B18" t="s">
        <v>496</v>
      </c>
      <c r="C18" t="s">
        <v>345</v>
      </c>
      <c r="D18" t="s">
        <v>21</v>
      </c>
      <c r="E18" t="s">
        <v>496</v>
      </c>
      <c r="F18" t="s">
        <v>346</v>
      </c>
      <c r="G18" t="s">
        <v>133</v>
      </c>
      <c r="H18" t="s">
        <v>496</v>
      </c>
      <c r="I18" t="s">
        <v>345</v>
      </c>
      <c r="J18" t="s">
        <v>185</v>
      </c>
      <c r="K18" t="s">
        <v>496</v>
      </c>
      <c r="L18" t="s">
        <v>345</v>
      </c>
      <c r="M18" t="s">
        <v>234</v>
      </c>
      <c r="N18" t="s">
        <v>496</v>
      </c>
      <c r="O18" t="s">
        <v>345</v>
      </c>
      <c r="P18" t="s">
        <v>66</v>
      </c>
    </row>
    <row r="19" spans="1:16">
      <c r="A19" t="s">
        <v>66</v>
      </c>
      <c r="B19" t="s">
        <v>509</v>
      </c>
      <c r="C19" t="s">
        <v>346</v>
      </c>
      <c r="D19" t="s">
        <v>198</v>
      </c>
      <c r="E19" t="s">
        <v>516</v>
      </c>
      <c r="F19" t="s">
        <v>345</v>
      </c>
      <c r="G19" t="s">
        <v>113</v>
      </c>
      <c r="H19" t="s">
        <v>517</v>
      </c>
      <c r="I19" t="s">
        <v>346</v>
      </c>
      <c r="J19" t="s">
        <v>244</v>
      </c>
      <c r="K19" t="s">
        <v>516</v>
      </c>
      <c r="L19" t="s">
        <v>345</v>
      </c>
      <c r="M19" t="s">
        <v>205</v>
      </c>
      <c r="N19" t="s">
        <v>517</v>
      </c>
      <c r="O19" t="s">
        <v>346</v>
      </c>
      <c r="P19" t="s">
        <v>299</v>
      </c>
    </row>
    <row r="20" spans="1:16">
      <c r="A20" t="s">
        <v>78</v>
      </c>
      <c r="B20" t="s">
        <v>518</v>
      </c>
      <c r="C20" t="s">
        <v>346</v>
      </c>
      <c r="D20" t="s">
        <v>229</v>
      </c>
      <c r="E20" t="s">
        <v>497</v>
      </c>
      <c r="F20" t="s">
        <v>346</v>
      </c>
      <c r="G20" t="s">
        <v>152</v>
      </c>
      <c r="H20" t="s">
        <v>497</v>
      </c>
      <c r="I20" t="s">
        <v>346</v>
      </c>
      <c r="J20" t="s">
        <v>152</v>
      </c>
      <c r="K20" t="s">
        <v>497</v>
      </c>
      <c r="L20" t="s">
        <v>346</v>
      </c>
      <c r="M20" t="s">
        <v>106</v>
      </c>
      <c r="N20" t="s">
        <v>497</v>
      </c>
      <c r="O20" t="s">
        <v>346</v>
      </c>
      <c r="P20" t="s">
        <v>106</v>
      </c>
    </row>
    <row r="21" spans="1:16">
      <c r="A21" t="s">
        <v>475</v>
      </c>
      <c r="B21" t="s">
        <v>519</v>
      </c>
      <c r="C21" t="s">
        <v>345</v>
      </c>
      <c r="D21" t="s">
        <v>508</v>
      </c>
      <c r="E21" t="s">
        <v>483</v>
      </c>
      <c r="F21" t="s">
        <v>345</v>
      </c>
      <c r="G21" t="s">
        <v>544</v>
      </c>
      <c r="H21" t="s">
        <v>483</v>
      </c>
      <c r="I21" t="s">
        <v>345</v>
      </c>
      <c r="J21" t="s">
        <v>544</v>
      </c>
      <c r="K21" t="s">
        <v>483</v>
      </c>
      <c r="L21" t="s">
        <v>345</v>
      </c>
      <c r="M21" t="s">
        <v>545</v>
      </c>
      <c r="N21" t="s">
        <v>483</v>
      </c>
      <c r="O21" t="s">
        <v>345</v>
      </c>
      <c r="P21" t="s">
        <v>545</v>
      </c>
    </row>
    <row r="22" spans="1:16">
      <c r="A22" t="s">
        <v>84</v>
      </c>
      <c r="B22" t="s">
        <v>498</v>
      </c>
      <c r="C22" t="s">
        <v>346</v>
      </c>
      <c r="D22" t="s">
        <v>168</v>
      </c>
      <c r="E22" t="s">
        <v>498</v>
      </c>
      <c r="F22" t="s">
        <v>346</v>
      </c>
      <c r="G22" t="s">
        <v>168</v>
      </c>
      <c r="H22" t="s">
        <v>498</v>
      </c>
      <c r="I22" t="s">
        <v>345</v>
      </c>
      <c r="J22" t="s">
        <v>15</v>
      </c>
      <c r="K22" t="s">
        <v>498</v>
      </c>
      <c r="L22" t="s">
        <v>346</v>
      </c>
      <c r="M22" t="s">
        <v>15</v>
      </c>
      <c r="N22" t="s">
        <v>498</v>
      </c>
      <c r="O22" t="s">
        <v>345</v>
      </c>
      <c r="P22" t="s">
        <v>15</v>
      </c>
    </row>
    <row r="23" spans="1:16">
      <c r="A23" t="s">
        <v>571</v>
      </c>
      <c r="B23" t="s">
        <v>350</v>
      </c>
      <c r="C23" t="s">
        <v>346</v>
      </c>
      <c r="D23" t="s">
        <v>181</v>
      </c>
      <c r="E23" t="s">
        <v>574</v>
      </c>
      <c r="F23" t="s">
        <v>346</v>
      </c>
      <c r="G23" t="s">
        <v>181</v>
      </c>
      <c r="H23" t="s">
        <v>350</v>
      </c>
      <c r="I23" t="s">
        <v>346</v>
      </c>
      <c r="J23" t="s">
        <v>2</v>
      </c>
      <c r="K23" t="s">
        <v>350</v>
      </c>
      <c r="L23" t="s">
        <v>345</v>
      </c>
      <c r="M23" t="s">
        <v>2</v>
      </c>
      <c r="N23" t="s">
        <v>350</v>
      </c>
      <c r="O23" t="s">
        <v>345</v>
      </c>
      <c r="P23" t="s">
        <v>2</v>
      </c>
    </row>
    <row r="24" spans="1:16">
      <c r="A24" t="s">
        <v>95</v>
      </c>
      <c r="B24" t="s">
        <v>499</v>
      </c>
      <c r="C24" t="s">
        <v>346</v>
      </c>
      <c r="D24" t="s">
        <v>538</v>
      </c>
      <c r="E24" t="s">
        <v>499</v>
      </c>
      <c r="F24" t="s">
        <v>346</v>
      </c>
      <c r="G24" t="s">
        <v>538</v>
      </c>
      <c r="H24" t="s">
        <v>499</v>
      </c>
      <c r="I24" t="s">
        <v>346</v>
      </c>
      <c r="J24" t="s">
        <v>102</v>
      </c>
      <c r="K24" t="s">
        <v>499</v>
      </c>
      <c r="L24" t="s">
        <v>345</v>
      </c>
      <c r="M24" t="s">
        <v>102</v>
      </c>
      <c r="N24" t="s">
        <v>499</v>
      </c>
      <c r="O24" t="s">
        <v>345</v>
      </c>
      <c r="P24" t="s">
        <v>102</v>
      </c>
    </row>
    <row r="25" spans="1:16">
      <c r="A25" t="s">
        <v>102</v>
      </c>
      <c r="B25" t="s">
        <v>546</v>
      </c>
      <c r="C25" t="s">
        <v>346</v>
      </c>
      <c r="D25" t="s">
        <v>127</v>
      </c>
      <c r="E25" t="s">
        <v>546</v>
      </c>
      <c r="F25" t="s">
        <v>346</v>
      </c>
      <c r="G25" t="s">
        <v>127</v>
      </c>
      <c r="H25" t="s">
        <v>580</v>
      </c>
      <c r="I25" t="s">
        <v>345</v>
      </c>
      <c r="J25" t="s">
        <v>95</v>
      </c>
      <c r="K25" t="s">
        <v>580</v>
      </c>
      <c r="L25" t="s">
        <v>346</v>
      </c>
      <c r="M25" t="s">
        <v>95</v>
      </c>
      <c r="N25" t="s">
        <v>580</v>
      </c>
      <c r="O25" t="s">
        <v>346</v>
      </c>
      <c r="P25" t="s">
        <v>95</v>
      </c>
    </row>
    <row r="26" spans="1:16">
      <c r="A26" t="s">
        <v>106</v>
      </c>
      <c r="B26" t="s">
        <v>521</v>
      </c>
      <c r="C26" t="s">
        <v>345</v>
      </c>
      <c r="D26" t="s">
        <v>78</v>
      </c>
      <c r="E26" t="s">
        <v>521</v>
      </c>
      <c r="F26" t="s">
        <v>345</v>
      </c>
      <c r="G26" t="s">
        <v>78</v>
      </c>
      <c r="H26" t="s">
        <v>521</v>
      </c>
      <c r="I26" t="s">
        <v>346</v>
      </c>
      <c r="J26" t="s">
        <v>239</v>
      </c>
      <c r="K26" t="s">
        <v>521</v>
      </c>
      <c r="L26" t="s">
        <v>345</v>
      </c>
      <c r="M26" t="s">
        <v>239</v>
      </c>
      <c r="N26" t="s">
        <v>521</v>
      </c>
      <c r="O26" t="s">
        <v>346</v>
      </c>
      <c r="P26" t="s">
        <v>239</v>
      </c>
    </row>
    <row r="27" spans="1:16">
      <c r="A27" t="s">
        <v>347</v>
      </c>
      <c r="B27" t="s">
        <v>353</v>
      </c>
      <c r="C27" t="s">
        <v>346</v>
      </c>
      <c r="D27" t="s">
        <v>120</v>
      </c>
      <c r="E27" t="s">
        <v>353</v>
      </c>
      <c r="F27" t="s">
        <v>345</v>
      </c>
      <c r="G27" t="s">
        <v>211</v>
      </c>
      <c r="H27" t="s">
        <v>353</v>
      </c>
      <c r="I27" t="s">
        <v>346</v>
      </c>
      <c r="J27" t="s">
        <v>198</v>
      </c>
      <c r="K27" t="s">
        <v>353</v>
      </c>
      <c r="L27" t="s">
        <v>346</v>
      </c>
      <c r="M27" t="s">
        <v>140</v>
      </c>
      <c r="N27" t="s">
        <v>353</v>
      </c>
      <c r="O27" t="s">
        <v>345</v>
      </c>
      <c r="P27" t="s">
        <v>222</v>
      </c>
    </row>
    <row r="28" spans="1:16">
      <c r="A28" t="s">
        <v>113</v>
      </c>
      <c r="B28" t="s">
        <v>500</v>
      </c>
      <c r="C28" t="s">
        <v>345</v>
      </c>
      <c r="D28" t="s">
        <v>244</v>
      </c>
      <c r="E28" t="s">
        <v>522</v>
      </c>
      <c r="F28" t="s">
        <v>346</v>
      </c>
      <c r="G28" t="s">
        <v>66</v>
      </c>
      <c r="H28" t="s">
        <v>500</v>
      </c>
      <c r="I28" t="s">
        <v>346</v>
      </c>
      <c r="J28" t="s">
        <v>205</v>
      </c>
      <c r="K28" t="s">
        <v>500</v>
      </c>
      <c r="L28" t="s">
        <v>346</v>
      </c>
      <c r="M28" t="s">
        <v>147</v>
      </c>
      <c r="N28" t="s">
        <v>500</v>
      </c>
      <c r="O28" t="s">
        <v>345</v>
      </c>
      <c r="P28" t="s">
        <v>234</v>
      </c>
    </row>
    <row r="29" spans="1:16">
      <c r="A29" t="s">
        <v>120</v>
      </c>
      <c r="B29" t="s">
        <v>354</v>
      </c>
      <c r="C29" t="s">
        <v>345</v>
      </c>
      <c r="D29" t="s">
        <v>185</v>
      </c>
      <c r="E29" t="s">
        <v>354</v>
      </c>
      <c r="F29" t="s">
        <v>345</v>
      </c>
      <c r="G29" t="s">
        <v>198</v>
      </c>
      <c r="H29" t="s">
        <v>354</v>
      </c>
      <c r="I29" t="s">
        <v>346</v>
      </c>
      <c r="J29" t="s">
        <v>34</v>
      </c>
      <c r="K29" t="s">
        <v>354</v>
      </c>
      <c r="L29" t="s">
        <v>345</v>
      </c>
      <c r="M29" t="s">
        <v>349</v>
      </c>
      <c r="N29" t="s">
        <v>354</v>
      </c>
      <c r="O29" t="s">
        <v>345</v>
      </c>
      <c r="P29" t="s">
        <v>348</v>
      </c>
    </row>
    <row r="30" spans="1:16">
      <c r="A30" t="s">
        <v>127</v>
      </c>
      <c r="B30" t="s">
        <v>355</v>
      </c>
      <c r="C30" t="s">
        <v>346</v>
      </c>
      <c r="D30" t="s">
        <v>538</v>
      </c>
      <c r="E30" t="s">
        <v>355</v>
      </c>
      <c r="F30" t="s">
        <v>345</v>
      </c>
      <c r="G30" t="s">
        <v>102</v>
      </c>
      <c r="H30" t="s">
        <v>523</v>
      </c>
      <c r="I30" t="s">
        <v>345</v>
      </c>
      <c r="J30" t="s">
        <v>102</v>
      </c>
      <c r="K30" t="s">
        <v>523</v>
      </c>
      <c r="L30" t="s">
        <v>346</v>
      </c>
      <c r="M30" t="s">
        <v>520</v>
      </c>
      <c r="N30" t="s">
        <v>355</v>
      </c>
      <c r="O30" t="s">
        <v>346</v>
      </c>
      <c r="P30" t="s">
        <v>520</v>
      </c>
    </row>
    <row r="31" spans="1:16">
      <c r="A31" t="s">
        <v>21</v>
      </c>
      <c r="B31" t="s">
        <v>351</v>
      </c>
      <c r="C31" t="s">
        <v>346</v>
      </c>
      <c r="D31" t="s">
        <v>299</v>
      </c>
      <c r="E31" t="s">
        <v>351</v>
      </c>
      <c r="F31" t="s">
        <v>345</v>
      </c>
      <c r="G31" t="s">
        <v>205</v>
      </c>
      <c r="H31" t="s">
        <v>351</v>
      </c>
      <c r="I31" t="s">
        <v>345</v>
      </c>
      <c r="J31" t="s">
        <v>133</v>
      </c>
      <c r="K31" t="s">
        <v>351</v>
      </c>
      <c r="L31" t="s">
        <v>346</v>
      </c>
      <c r="M31" t="s">
        <v>244</v>
      </c>
      <c r="N31" t="s">
        <v>547</v>
      </c>
      <c r="O31" t="s">
        <v>346</v>
      </c>
      <c r="P31" t="s">
        <v>185</v>
      </c>
    </row>
    <row r="32" spans="1:16">
      <c r="A32" t="s">
        <v>133</v>
      </c>
      <c r="B32" t="s">
        <v>501</v>
      </c>
      <c r="C32" t="s">
        <v>346</v>
      </c>
      <c r="D32" t="s">
        <v>205</v>
      </c>
      <c r="E32" t="s">
        <v>524</v>
      </c>
      <c r="F32" t="s">
        <v>345</v>
      </c>
      <c r="G32" t="s">
        <v>299</v>
      </c>
      <c r="H32" t="s">
        <v>524</v>
      </c>
      <c r="I32" t="s">
        <v>346</v>
      </c>
      <c r="J32" t="s">
        <v>21</v>
      </c>
      <c r="K32" t="s">
        <v>548</v>
      </c>
      <c r="L32" t="s">
        <v>345</v>
      </c>
      <c r="M32" t="s">
        <v>185</v>
      </c>
      <c r="N32" t="s">
        <v>548</v>
      </c>
      <c r="O32" t="s">
        <v>346</v>
      </c>
      <c r="P32" t="s">
        <v>147</v>
      </c>
    </row>
    <row r="33" spans="1:16">
      <c r="A33" t="s">
        <v>140</v>
      </c>
      <c r="B33" t="s">
        <v>356</v>
      </c>
      <c r="C33" t="s">
        <v>345</v>
      </c>
      <c r="D33" t="s">
        <v>60</v>
      </c>
      <c r="E33" t="s">
        <v>356</v>
      </c>
      <c r="F33" t="s">
        <v>345</v>
      </c>
      <c r="G33" t="s">
        <v>222</v>
      </c>
      <c r="H33" t="s">
        <v>356</v>
      </c>
      <c r="I33" t="s">
        <v>345</v>
      </c>
      <c r="J33" t="s">
        <v>348</v>
      </c>
      <c r="K33" t="s">
        <v>356</v>
      </c>
      <c r="L33" t="s">
        <v>345</v>
      </c>
      <c r="M33" t="s">
        <v>347</v>
      </c>
      <c r="N33" t="s">
        <v>356</v>
      </c>
      <c r="O33" t="s">
        <v>346</v>
      </c>
      <c r="P33" t="s">
        <v>198</v>
      </c>
    </row>
    <row r="34" spans="1:16">
      <c r="A34" t="s">
        <v>147</v>
      </c>
      <c r="B34" t="s">
        <v>503</v>
      </c>
      <c r="C34" t="s">
        <v>346</v>
      </c>
      <c r="D34" t="s">
        <v>66</v>
      </c>
      <c r="E34" t="s">
        <v>502</v>
      </c>
      <c r="F34" t="s">
        <v>346</v>
      </c>
      <c r="G34" t="s">
        <v>185</v>
      </c>
      <c r="H34" t="s">
        <v>502</v>
      </c>
      <c r="I34" t="s">
        <v>346</v>
      </c>
      <c r="J34" t="s">
        <v>234</v>
      </c>
      <c r="K34" t="s">
        <v>502</v>
      </c>
      <c r="L34" t="s">
        <v>345</v>
      </c>
      <c r="M34" t="s">
        <v>113</v>
      </c>
      <c r="N34" t="s">
        <v>502</v>
      </c>
      <c r="O34" t="s">
        <v>345</v>
      </c>
      <c r="P34" t="s">
        <v>133</v>
      </c>
    </row>
    <row r="35" spans="1:16">
      <c r="A35" t="s">
        <v>152</v>
      </c>
      <c r="B35" t="s">
        <v>357</v>
      </c>
      <c r="C35" t="s">
        <v>345</v>
      </c>
      <c r="D35" t="s">
        <v>78</v>
      </c>
      <c r="E35" t="s">
        <v>357</v>
      </c>
      <c r="F35" t="s">
        <v>345</v>
      </c>
      <c r="G35" t="s">
        <v>337</v>
      </c>
      <c r="H35" t="s">
        <v>357</v>
      </c>
      <c r="I35" t="s">
        <v>345</v>
      </c>
      <c r="J35" t="s">
        <v>337</v>
      </c>
      <c r="K35" t="s">
        <v>357</v>
      </c>
      <c r="L35" t="s">
        <v>346</v>
      </c>
      <c r="M35" t="s">
        <v>41</v>
      </c>
      <c r="N35" t="s">
        <v>357</v>
      </c>
      <c r="O35" t="s">
        <v>346</v>
      </c>
      <c r="P35" t="s">
        <v>41</v>
      </c>
    </row>
    <row r="36" spans="1:16">
      <c r="A36" t="s">
        <v>157</v>
      </c>
      <c r="B36" t="s">
        <v>525</v>
      </c>
      <c r="C36" t="s">
        <v>346</v>
      </c>
      <c r="D36" t="s">
        <v>239</v>
      </c>
      <c r="E36" t="s">
        <v>549</v>
      </c>
      <c r="F36" t="s">
        <v>346</v>
      </c>
      <c r="G36" t="s">
        <v>54</v>
      </c>
      <c r="H36" t="s">
        <v>549</v>
      </c>
      <c r="I36" t="s">
        <v>346</v>
      </c>
      <c r="J36" t="s">
        <v>54</v>
      </c>
      <c r="K36" t="s">
        <v>525</v>
      </c>
      <c r="L36" t="s">
        <v>345</v>
      </c>
      <c r="M36" t="s">
        <v>337</v>
      </c>
      <c r="N36" t="s">
        <v>567</v>
      </c>
      <c r="O36" t="s">
        <v>345</v>
      </c>
      <c r="P36" t="s">
        <v>337</v>
      </c>
    </row>
    <row r="37" spans="1:16">
      <c r="A37" t="s">
        <v>168</v>
      </c>
      <c r="B37" t="s">
        <v>358</v>
      </c>
      <c r="C37" t="s">
        <v>346</v>
      </c>
      <c r="D37" t="s">
        <v>192</v>
      </c>
      <c r="E37" t="s">
        <v>358</v>
      </c>
      <c r="F37" t="s">
        <v>345</v>
      </c>
      <c r="G37" t="s">
        <v>192</v>
      </c>
      <c r="H37" t="s">
        <v>358</v>
      </c>
      <c r="I37" t="s">
        <v>346</v>
      </c>
      <c r="J37" t="s">
        <v>216</v>
      </c>
      <c r="K37" t="s">
        <v>358</v>
      </c>
      <c r="L37" t="s">
        <v>345</v>
      </c>
      <c r="M37" t="s">
        <v>216</v>
      </c>
      <c r="N37" t="s">
        <v>358</v>
      </c>
      <c r="O37" t="s">
        <v>346</v>
      </c>
      <c r="P37" t="s">
        <v>216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456</v>
      </c>
      <c r="L38" t="s">
        <v>345</v>
      </c>
      <c r="M38" t="s">
        <v>102</v>
      </c>
      <c r="N38" t="s">
        <v>456</v>
      </c>
      <c r="O38" t="s">
        <v>346</v>
      </c>
      <c r="P38" t="s">
        <v>102</v>
      </c>
    </row>
    <row r="39" spans="1:16">
      <c r="A39" t="s">
        <v>181</v>
      </c>
      <c r="B39" t="s">
        <v>550</v>
      </c>
      <c r="C39" t="s">
        <v>345</v>
      </c>
      <c r="D39" t="s">
        <v>571</v>
      </c>
      <c r="E39" t="s">
        <v>550</v>
      </c>
      <c r="F39" t="s">
        <v>345</v>
      </c>
      <c r="G39" t="s">
        <v>571</v>
      </c>
      <c r="H39" t="s">
        <v>550</v>
      </c>
      <c r="I39" t="s">
        <v>345</v>
      </c>
      <c r="J39" t="s">
        <v>8</v>
      </c>
      <c r="K39" t="s">
        <v>550</v>
      </c>
      <c r="L39" t="s">
        <v>346</v>
      </c>
      <c r="M39" t="s">
        <v>8</v>
      </c>
      <c r="N39" t="s">
        <v>550</v>
      </c>
      <c r="O39" t="s">
        <v>345</v>
      </c>
      <c r="P39" t="s">
        <v>8</v>
      </c>
    </row>
    <row r="40" spans="1:16">
      <c r="A40" t="s">
        <v>429</v>
      </c>
      <c r="B40" t="s">
        <v>444</v>
      </c>
      <c r="C40" t="s">
        <v>345</v>
      </c>
      <c r="D40" t="s">
        <v>406</v>
      </c>
      <c r="E40" t="s">
        <v>444</v>
      </c>
      <c r="F40" t="s">
        <v>345</v>
      </c>
      <c r="G40" t="s">
        <v>489</v>
      </c>
      <c r="H40" t="s">
        <v>444</v>
      </c>
      <c r="I40" t="s">
        <v>345</v>
      </c>
      <c r="J40" t="s">
        <v>438</v>
      </c>
      <c r="K40" t="s">
        <v>444</v>
      </c>
      <c r="L40" t="s">
        <v>346</v>
      </c>
      <c r="M40" t="s">
        <v>422</v>
      </c>
      <c r="N40" t="s">
        <v>444</v>
      </c>
      <c r="O40" t="s">
        <v>346</v>
      </c>
      <c r="P40" t="s">
        <v>403</v>
      </c>
    </row>
    <row r="41" spans="1:16">
      <c r="A41" t="s">
        <v>438</v>
      </c>
      <c r="B41" t="s">
        <v>527</v>
      </c>
      <c r="C41" t="s">
        <v>345</v>
      </c>
      <c r="D41" t="s">
        <v>403</v>
      </c>
      <c r="E41" t="s">
        <v>527</v>
      </c>
      <c r="F41" t="s">
        <v>346</v>
      </c>
      <c r="G41" t="s">
        <v>422</v>
      </c>
      <c r="H41" t="s">
        <v>526</v>
      </c>
      <c r="I41" t="s">
        <v>346</v>
      </c>
      <c r="J41" t="s">
        <v>429</v>
      </c>
      <c r="K41" t="s">
        <v>526</v>
      </c>
      <c r="L41" t="s">
        <v>346</v>
      </c>
      <c r="M41" t="s">
        <v>433</v>
      </c>
      <c r="N41" t="s">
        <v>526</v>
      </c>
      <c r="O41" t="s">
        <v>345</v>
      </c>
      <c r="P41" t="s">
        <v>416</v>
      </c>
    </row>
    <row r="42" spans="1:16">
      <c r="A42" t="s">
        <v>406</v>
      </c>
      <c r="B42" t="s">
        <v>528</v>
      </c>
      <c r="C42" t="s">
        <v>346</v>
      </c>
      <c r="D42" t="s">
        <v>429</v>
      </c>
      <c r="E42" t="s">
        <v>529</v>
      </c>
      <c r="F42" t="s">
        <v>345</v>
      </c>
      <c r="G42" t="s">
        <v>433</v>
      </c>
      <c r="H42" t="s">
        <v>529</v>
      </c>
      <c r="I42" t="s">
        <v>345</v>
      </c>
      <c r="J42" t="s">
        <v>416</v>
      </c>
      <c r="K42" t="s">
        <v>529</v>
      </c>
      <c r="L42" t="s">
        <v>345</v>
      </c>
      <c r="M42" t="s">
        <v>403</v>
      </c>
      <c r="N42" t="s">
        <v>529</v>
      </c>
      <c r="O42" t="s">
        <v>346</v>
      </c>
      <c r="P42" t="s">
        <v>489</v>
      </c>
    </row>
    <row r="43" spans="1:16">
      <c r="A43" t="s">
        <v>229</v>
      </c>
      <c r="B43" t="s">
        <v>504</v>
      </c>
      <c r="C43" t="s">
        <v>345</v>
      </c>
      <c r="D43" t="s">
        <v>337</v>
      </c>
      <c r="E43" t="s">
        <v>504</v>
      </c>
      <c r="F43" t="s">
        <v>346</v>
      </c>
      <c r="G43" t="s">
        <v>337</v>
      </c>
      <c r="H43" t="s">
        <v>504</v>
      </c>
      <c r="I43" t="s">
        <v>346</v>
      </c>
      <c r="J43" t="s">
        <v>337</v>
      </c>
      <c r="K43" t="s">
        <v>568</v>
      </c>
      <c r="L43" t="s">
        <v>346</v>
      </c>
      <c r="M43" t="s">
        <v>54</v>
      </c>
      <c r="N43" t="s">
        <v>568</v>
      </c>
      <c r="O43" t="s">
        <v>346</v>
      </c>
      <c r="P43" t="s">
        <v>54</v>
      </c>
    </row>
    <row r="44" spans="1:16">
      <c r="A44" t="s">
        <v>192</v>
      </c>
      <c r="B44" t="s">
        <v>360</v>
      </c>
      <c r="C44" t="s">
        <v>345</v>
      </c>
      <c r="D44" t="s">
        <v>15</v>
      </c>
      <c r="E44" t="s">
        <v>360</v>
      </c>
      <c r="F44" t="s">
        <v>345</v>
      </c>
      <c r="G44" t="s">
        <v>15</v>
      </c>
      <c r="H44" t="s">
        <v>360</v>
      </c>
      <c r="I44" t="s">
        <v>345</v>
      </c>
      <c r="J44" t="s">
        <v>41</v>
      </c>
      <c r="K44" t="s">
        <v>360</v>
      </c>
      <c r="L44" t="s">
        <v>346</v>
      </c>
      <c r="M44" t="s">
        <v>41</v>
      </c>
      <c r="N44" t="s">
        <v>360</v>
      </c>
      <c r="O44" t="s">
        <v>345</v>
      </c>
      <c r="P44" t="s">
        <v>41</v>
      </c>
    </row>
    <row r="45" spans="1:16">
      <c r="A45" t="s">
        <v>198</v>
      </c>
      <c r="B45" t="s">
        <v>505</v>
      </c>
      <c r="C45" t="s">
        <v>345</v>
      </c>
      <c r="D45" t="s">
        <v>66</v>
      </c>
      <c r="E45" t="s">
        <v>505</v>
      </c>
      <c r="F45" t="s">
        <v>346</v>
      </c>
      <c r="G45" t="s">
        <v>120</v>
      </c>
      <c r="H45" t="s">
        <v>505</v>
      </c>
      <c r="I45" t="s">
        <v>345</v>
      </c>
      <c r="J45" t="s">
        <v>347</v>
      </c>
      <c r="K45" t="s">
        <v>505</v>
      </c>
      <c r="L45" t="s">
        <v>345</v>
      </c>
      <c r="M45" t="s">
        <v>211</v>
      </c>
      <c r="N45" t="s">
        <v>505</v>
      </c>
      <c r="O45" t="s">
        <v>345</v>
      </c>
      <c r="P45" t="s">
        <v>140</v>
      </c>
    </row>
    <row r="46" spans="1:16">
      <c r="A46" t="s">
        <v>205</v>
      </c>
      <c r="B46" t="s">
        <v>530</v>
      </c>
      <c r="C46" t="s">
        <v>345</v>
      </c>
      <c r="D46" t="s">
        <v>222</v>
      </c>
      <c r="E46" t="s">
        <v>531</v>
      </c>
      <c r="F46" t="s">
        <v>346</v>
      </c>
      <c r="G46" t="s">
        <v>21</v>
      </c>
      <c r="H46" t="s">
        <v>531</v>
      </c>
      <c r="I46" t="s">
        <v>345</v>
      </c>
      <c r="J46" t="s">
        <v>113</v>
      </c>
      <c r="K46" t="s">
        <v>531</v>
      </c>
      <c r="L46" t="s">
        <v>346</v>
      </c>
      <c r="M46" t="s">
        <v>66</v>
      </c>
      <c r="N46" t="s">
        <v>531</v>
      </c>
      <c r="O46" t="s">
        <v>345</v>
      </c>
      <c r="P46" t="s">
        <v>244</v>
      </c>
    </row>
    <row r="47" spans="1:16">
      <c r="A47" t="s">
        <v>337</v>
      </c>
      <c r="B47" t="s">
        <v>532</v>
      </c>
      <c r="C47" t="s">
        <v>345</v>
      </c>
      <c r="D47" t="s">
        <v>229</v>
      </c>
      <c r="E47" t="s">
        <v>532</v>
      </c>
      <c r="F47" t="s">
        <v>346</v>
      </c>
      <c r="G47" t="s">
        <v>152</v>
      </c>
      <c r="H47" t="s">
        <v>532</v>
      </c>
      <c r="I47" t="s">
        <v>346</v>
      </c>
      <c r="J47" t="s">
        <v>152</v>
      </c>
      <c r="K47" t="s">
        <v>532</v>
      </c>
      <c r="L47" t="s">
        <v>346</v>
      </c>
      <c r="M47" t="s">
        <v>157</v>
      </c>
      <c r="N47" t="s">
        <v>532</v>
      </c>
      <c r="O47" t="s">
        <v>346</v>
      </c>
      <c r="P47" t="s">
        <v>157</v>
      </c>
    </row>
    <row r="48" spans="1:16">
      <c r="A48" t="s">
        <v>211</v>
      </c>
      <c r="B48" t="s">
        <v>361</v>
      </c>
      <c r="C48" t="s">
        <v>346</v>
      </c>
      <c r="D48" t="s">
        <v>222</v>
      </c>
      <c r="E48" t="s">
        <v>533</v>
      </c>
      <c r="F48" t="s">
        <v>346</v>
      </c>
      <c r="G48" t="s">
        <v>347</v>
      </c>
      <c r="H48" t="s">
        <v>534</v>
      </c>
      <c r="I48" t="s">
        <v>345</v>
      </c>
      <c r="J48" t="s">
        <v>60</v>
      </c>
      <c r="K48" t="s">
        <v>534</v>
      </c>
      <c r="L48" t="s">
        <v>346</v>
      </c>
      <c r="M48" t="s">
        <v>198</v>
      </c>
      <c r="N48" t="s">
        <v>534</v>
      </c>
      <c r="O48" t="s">
        <v>346</v>
      </c>
      <c r="P48" t="s">
        <v>34</v>
      </c>
    </row>
    <row r="49" spans="1:16">
      <c r="A49" t="s">
        <v>216</v>
      </c>
      <c r="B49" t="s">
        <v>551</v>
      </c>
      <c r="C49" t="s">
        <v>345</v>
      </c>
      <c r="D49" t="s">
        <v>239</v>
      </c>
      <c r="E49" t="s">
        <v>551</v>
      </c>
      <c r="F49" t="s">
        <v>346</v>
      </c>
      <c r="G49" t="s">
        <v>239</v>
      </c>
      <c r="H49" t="s">
        <v>551</v>
      </c>
      <c r="I49" t="s">
        <v>345</v>
      </c>
      <c r="J49" t="s">
        <v>168</v>
      </c>
      <c r="K49" t="s">
        <v>551</v>
      </c>
      <c r="L49" t="s">
        <v>346</v>
      </c>
      <c r="M49" t="s">
        <v>168</v>
      </c>
      <c r="N49" t="s">
        <v>551</v>
      </c>
      <c r="O49" t="s">
        <v>345</v>
      </c>
      <c r="P49" t="s">
        <v>168</v>
      </c>
    </row>
    <row r="50" spans="1:16">
      <c r="A50" t="s">
        <v>222</v>
      </c>
      <c r="B50" t="s">
        <v>506</v>
      </c>
      <c r="C50" t="s">
        <v>346</v>
      </c>
      <c r="D50" t="s">
        <v>205</v>
      </c>
      <c r="E50" t="s">
        <v>362</v>
      </c>
      <c r="F50" t="s">
        <v>346</v>
      </c>
      <c r="G50" t="s">
        <v>140</v>
      </c>
      <c r="H50" t="s">
        <v>362</v>
      </c>
      <c r="I50" t="s">
        <v>346</v>
      </c>
      <c r="J50" t="s">
        <v>349</v>
      </c>
      <c r="K50" t="s">
        <v>506</v>
      </c>
      <c r="L50" t="s">
        <v>345</v>
      </c>
      <c r="M50" t="s">
        <v>348</v>
      </c>
      <c r="N50" t="s">
        <v>362</v>
      </c>
      <c r="O50" t="s">
        <v>346</v>
      </c>
      <c r="P50" t="s">
        <v>347</v>
      </c>
    </row>
    <row r="51" spans="1:16">
      <c r="A51" t="s">
        <v>185</v>
      </c>
      <c r="B51" t="s">
        <v>363</v>
      </c>
      <c r="C51" t="s">
        <v>346</v>
      </c>
      <c r="D51" t="s">
        <v>120</v>
      </c>
      <c r="E51" t="s">
        <v>535</v>
      </c>
      <c r="F51" t="s">
        <v>345</v>
      </c>
      <c r="G51" t="s">
        <v>147</v>
      </c>
      <c r="H51" t="s">
        <v>363</v>
      </c>
      <c r="I51" t="s">
        <v>346</v>
      </c>
      <c r="J51" t="s">
        <v>299</v>
      </c>
      <c r="K51" t="s">
        <v>363</v>
      </c>
      <c r="L51" t="s">
        <v>346</v>
      </c>
      <c r="M51" t="s">
        <v>133</v>
      </c>
      <c r="N51" t="s">
        <v>363</v>
      </c>
      <c r="O51" t="s">
        <v>345</v>
      </c>
      <c r="P51" t="s">
        <v>21</v>
      </c>
    </row>
    <row r="52" spans="1:16">
      <c r="A52" t="s">
        <v>234</v>
      </c>
      <c r="B52" t="s">
        <v>364</v>
      </c>
      <c r="C52" t="s">
        <v>345</v>
      </c>
      <c r="D52" t="s">
        <v>185</v>
      </c>
      <c r="E52" t="s">
        <v>364</v>
      </c>
      <c r="F52" t="s">
        <v>346</v>
      </c>
      <c r="G52" t="s">
        <v>244</v>
      </c>
      <c r="H52" t="s">
        <v>364</v>
      </c>
      <c r="I52" t="s">
        <v>345</v>
      </c>
      <c r="J52" t="s">
        <v>147</v>
      </c>
      <c r="K52" t="s">
        <v>364</v>
      </c>
      <c r="L52" t="s">
        <v>346</v>
      </c>
      <c r="M52" t="s">
        <v>299</v>
      </c>
      <c r="N52" t="s">
        <v>364</v>
      </c>
      <c r="O52" t="s">
        <v>346</v>
      </c>
      <c r="P52" t="s">
        <v>113</v>
      </c>
    </row>
    <row r="53" spans="1:16">
      <c r="A53" t="s">
        <v>239</v>
      </c>
      <c r="B53" t="s">
        <v>552</v>
      </c>
      <c r="C53" t="s">
        <v>346</v>
      </c>
      <c r="D53" t="s">
        <v>216</v>
      </c>
      <c r="E53" t="s">
        <v>552</v>
      </c>
      <c r="F53" t="s">
        <v>345</v>
      </c>
      <c r="G53" t="s">
        <v>216</v>
      </c>
      <c r="H53" t="s">
        <v>552</v>
      </c>
      <c r="I53" t="s">
        <v>345</v>
      </c>
      <c r="J53" t="s">
        <v>106</v>
      </c>
      <c r="K53" t="s">
        <v>552</v>
      </c>
      <c r="L53" t="s">
        <v>346</v>
      </c>
      <c r="M53" t="s">
        <v>106</v>
      </c>
      <c r="N53" t="s">
        <v>552</v>
      </c>
      <c r="O53" t="s">
        <v>345</v>
      </c>
      <c r="P53" t="s">
        <v>106</v>
      </c>
    </row>
    <row r="54" spans="1:16">
      <c r="A54" t="s">
        <v>538</v>
      </c>
      <c r="B54" t="s">
        <v>539</v>
      </c>
      <c r="C54" t="s">
        <v>346</v>
      </c>
      <c r="D54" t="s">
        <v>95</v>
      </c>
      <c r="E54" t="s">
        <v>539</v>
      </c>
      <c r="F54" t="s">
        <v>345</v>
      </c>
      <c r="G54" t="s">
        <v>95</v>
      </c>
      <c r="H54" t="s">
        <v>539</v>
      </c>
      <c r="I54" t="s">
        <v>345</v>
      </c>
      <c r="J54" t="s">
        <v>95</v>
      </c>
      <c r="K54" t="s">
        <v>539</v>
      </c>
      <c r="L54" t="s">
        <v>346</v>
      </c>
      <c r="M54" t="s">
        <v>27</v>
      </c>
      <c r="N54" t="s">
        <v>539</v>
      </c>
      <c r="O54" t="s">
        <v>346</v>
      </c>
      <c r="P54" t="s">
        <v>27</v>
      </c>
    </row>
    <row r="55" spans="1:16">
      <c r="A55" t="s">
        <v>244</v>
      </c>
      <c r="B55" t="s">
        <v>507</v>
      </c>
      <c r="C55" t="s">
        <v>346</v>
      </c>
      <c r="D55" t="s">
        <v>113</v>
      </c>
      <c r="E55" t="s">
        <v>507</v>
      </c>
      <c r="F55" t="s">
        <v>345</v>
      </c>
      <c r="G55" t="s">
        <v>234</v>
      </c>
      <c r="H55" t="s">
        <v>507</v>
      </c>
      <c r="I55" t="s">
        <v>345</v>
      </c>
      <c r="J55" t="s">
        <v>66</v>
      </c>
      <c r="K55" t="s">
        <v>507</v>
      </c>
      <c r="L55" t="s">
        <v>345</v>
      </c>
      <c r="M55" t="s">
        <v>21</v>
      </c>
      <c r="N55" t="s">
        <v>507</v>
      </c>
      <c r="O55" t="s">
        <v>346</v>
      </c>
      <c r="P55" t="s">
        <v>205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389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388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390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388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390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391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387</v>
      </c>
      <c r="AH15" s="100">
        <f>AVERAGE(AD3:AD12)</f>
        <v>1506.4</v>
      </c>
    </row>
    <row r="16" spans="1:34">
      <c r="A16" s="91" t="s">
        <v>392</v>
      </c>
      <c r="AG16" s="100" t="s">
        <v>386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382</v>
      </c>
      <c r="E17" s="94" t="s">
        <v>383</v>
      </c>
      <c r="F17" s="94" t="s">
        <v>384</v>
      </c>
      <c r="G17" s="94" t="s">
        <v>371</v>
      </c>
      <c r="H17" s="95" t="s">
        <v>385</v>
      </c>
      <c r="I17" s="99" t="s">
        <v>291</v>
      </c>
      <c r="J17" s="94" t="s">
        <v>382</v>
      </c>
      <c r="K17" s="94" t="s">
        <v>383</v>
      </c>
      <c r="L17" s="94" t="s">
        <v>384</v>
      </c>
      <c r="M17" s="94" t="s">
        <v>371</v>
      </c>
      <c r="N17" s="95" t="s">
        <v>385</v>
      </c>
      <c r="O17" s="99" t="s">
        <v>316</v>
      </c>
      <c r="P17" s="94" t="s">
        <v>382</v>
      </c>
      <c r="Q17" s="94" t="s">
        <v>383</v>
      </c>
      <c r="R17" s="94" t="s">
        <v>384</v>
      </c>
      <c r="S17" s="94" t="s">
        <v>371</v>
      </c>
      <c r="T17" s="95" t="s">
        <v>385</v>
      </c>
      <c r="U17" s="99" t="s">
        <v>317</v>
      </c>
      <c r="V17" s="94" t="s">
        <v>382</v>
      </c>
      <c r="W17" s="94" t="s">
        <v>383</v>
      </c>
      <c r="X17" s="94" t="s">
        <v>384</v>
      </c>
      <c r="Y17" s="94" t="s">
        <v>371</v>
      </c>
      <c r="Z17" s="95" t="s">
        <v>385</v>
      </c>
      <c r="AA17" s="99" t="s">
        <v>295</v>
      </c>
      <c r="AB17" s="94" t="s">
        <v>382</v>
      </c>
      <c r="AC17" s="94" t="s">
        <v>383</v>
      </c>
      <c r="AD17" s="94" t="s">
        <v>384</v>
      </c>
      <c r="AE17" s="94" t="s">
        <v>371</v>
      </c>
      <c r="AF17" s="95" t="s">
        <v>385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381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379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380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12"/>
  <sheetViews>
    <sheetView workbookViewId="0">
      <selection activeCell="D80" sqref="D80"/>
    </sheetView>
  </sheetViews>
  <sheetFormatPr defaultColWidth="11" defaultRowHeight="15.75"/>
  <cols>
    <col min="1" max="1" width="17.7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6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1650</v>
      </c>
      <c r="E1">
        <v>364</v>
      </c>
      <c r="F1" t="s">
        <v>68</v>
      </c>
      <c r="G1">
        <v>1657</v>
      </c>
      <c r="H1">
        <v>276</v>
      </c>
      <c r="I1" t="s">
        <v>69</v>
      </c>
      <c r="J1">
        <v>1636</v>
      </c>
      <c r="K1">
        <v>311</v>
      </c>
      <c r="L1" t="s">
        <v>70</v>
      </c>
      <c r="M1">
        <v>1656</v>
      </c>
      <c r="N1">
        <v>155</v>
      </c>
      <c r="O1" t="s">
        <v>71</v>
      </c>
      <c r="P1">
        <v>1653</v>
      </c>
      <c r="Q1">
        <v>406</v>
      </c>
      <c r="AM1"/>
      <c r="AP1"/>
      <c r="AS1"/>
      <c r="AV1"/>
    </row>
    <row r="2" spans="1:48">
      <c r="A2" t="s">
        <v>403</v>
      </c>
      <c r="C2" t="s">
        <v>404</v>
      </c>
      <c r="D2" s="2">
        <v>1518</v>
      </c>
      <c r="E2">
        <v>97</v>
      </c>
      <c r="F2" t="s">
        <v>553</v>
      </c>
      <c r="G2">
        <v>1563</v>
      </c>
      <c r="H2">
        <v>149</v>
      </c>
      <c r="I2" t="s">
        <v>405</v>
      </c>
      <c r="J2">
        <v>1525</v>
      </c>
      <c r="K2">
        <v>185</v>
      </c>
      <c r="L2" t="s">
        <v>555</v>
      </c>
      <c r="M2">
        <v>1525</v>
      </c>
      <c r="N2">
        <v>70</v>
      </c>
      <c r="O2" t="s">
        <v>554</v>
      </c>
      <c r="P2">
        <v>1473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1705</v>
      </c>
      <c r="E3">
        <v>123</v>
      </c>
      <c r="F3" t="s">
        <v>98</v>
      </c>
      <c r="G3">
        <v>1715</v>
      </c>
      <c r="H3">
        <v>366</v>
      </c>
      <c r="I3" t="s">
        <v>99</v>
      </c>
      <c r="J3">
        <v>1733</v>
      </c>
      <c r="K3">
        <v>410</v>
      </c>
      <c r="L3" t="s">
        <v>537</v>
      </c>
      <c r="M3">
        <v>1708</v>
      </c>
      <c r="N3">
        <v>37</v>
      </c>
      <c r="O3" t="s">
        <v>101</v>
      </c>
      <c r="P3">
        <v>1727</v>
      </c>
      <c r="Q3">
        <v>277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1554</v>
      </c>
      <c r="E4">
        <v>295</v>
      </c>
      <c r="F4" t="s">
        <v>578</v>
      </c>
      <c r="G4">
        <v>1576</v>
      </c>
      <c r="H4">
        <v>41</v>
      </c>
      <c r="I4" t="s">
        <v>579</v>
      </c>
      <c r="J4">
        <v>1580</v>
      </c>
      <c r="K4">
        <v>42</v>
      </c>
      <c r="L4" t="s">
        <v>46</v>
      </c>
      <c r="M4">
        <v>1554</v>
      </c>
      <c r="N4">
        <v>227</v>
      </c>
      <c r="O4" t="s">
        <v>322</v>
      </c>
      <c r="P4">
        <v>1560</v>
      </c>
      <c r="Q4">
        <v>200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1613</v>
      </c>
      <c r="E5">
        <v>389</v>
      </c>
      <c r="F5" t="s">
        <v>23</v>
      </c>
      <c r="G5">
        <v>1556</v>
      </c>
      <c r="H5">
        <v>279</v>
      </c>
      <c r="I5" t="s">
        <v>24</v>
      </c>
      <c r="J5">
        <v>1613</v>
      </c>
      <c r="K5">
        <v>262</v>
      </c>
      <c r="L5" t="s">
        <v>25</v>
      </c>
      <c r="M5">
        <v>1615</v>
      </c>
      <c r="N5">
        <v>260</v>
      </c>
      <c r="O5" t="s">
        <v>26</v>
      </c>
      <c r="P5">
        <v>1704</v>
      </c>
      <c r="Q5">
        <v>221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1559</v>
      </c>
      <c r="E6">
        <v>98</v>
      </c>
      <c r="F6" t="s">
        <v>136</v>
      </c>
      <c r="G6">
        <v>1702</v>
      </c>
      <c r="H6">
        <v>399</v>
      </c>
      <c r="I6" t="s">
        <v>137</v>
      </c>
      <c r="J6">
        <v>1675</v>
      </c>
      <c r="K6">
        <v>300</v>
      </c>
      <c r="L6" t="s">
        <v>138</v>
      </c>
      <c r="M6">
        <v>1705</v>
      </c>
      <c r="N6">
        <v>430</v>
      </c>
      <c r="O6" t="s">
        <v>139</v>
      </c>
      <c r="P6">
        <v>1705</v>
      </c>
      <c r="Q6">
        <v>236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1590</v>
      </c>
      <c r="E7">
        <v>128</v>
      </c>
      <c r="F7" t="s">
        <v>235</v>
      </c>
      <c r="G7">
        <v>1563</v>
      </c>
      <c r="H7">
        <v>288</v>
      </c>
      <c r="I7" t="s">
        <v>236</v>
      </c>
      <c r="J7">
        <v>1610</v>
      </c>
      <c r="K7">
        <v>299</v>
      </c>
      <c r="L7" t="s">
        <v>237</v>
      </c>
      <c r="M7">
        <v>1563</v>
      </c>
      <c r="N7">
        <v>320</v>
      </c>
      <c r="O7" t="s">
        <v>238</v>
      </c>
      <c r="P7">
        <v>1563</v>
      </c>
      <c r="Q7">
        <v>220</v>
      </c>
      <c r="AM7"/>
      <c r="AP7"/>
      <c r="AS7"/>
      <c r="AV7"/>
    </row>
    <row r="8" spans="1:48">
      <c r="A8" t="s">
        <v>406</v>
      </c>
      <c r="C8" t="s">
        <v>407</v>
      </c>
      <c r="D8" s="2">
        <v>1392</v>
      </c>
      <c r="E8">
        <v>31</v>
      </c>
      <c r="F8" t="s">
        <v>448</v>
      </c>
      <c r="G8">
        <v>1459</v>
      </c>
      <c r="H8">
        <v>205</v>
      </c>
      <c r="I8" t="s">
        <v>408</v>
      </c>
      <c r="J8">
        <v>1456</v>
      </c>
      <c r="K8">
        <v>19</v>
      </c>
      <c r="L8" t="s">
        <v>409</v>
      </c>
      <c r="M8">
        <v>1446</v>
      </c>
      <c r="N8">
        <v>35</v>
      </c>
      <c r="O8" t="s">
        <v>410</v>
      </c>
      <c r="P8">
        <v>1505</v>
      </c>
      <c r="Q8">
        <v>60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1716</v>
      </c>
      <c r="E9">
        <v>161</v>
      </c>
      <c r="F9" t="s">
        <v>154</v>
      </c>
      <c r="G9">
        <v>1689</v>
      </c>
      <c r="H9">
        <v>65</v>
      </c>
      <c r="I9" t="s">
        <v>155</v>
      </c>
      <c r="J9">
        <v>1736</v>
      </c>
      <c r="K9">
        <v>236</v>
      </c>
      <c r="L9" t="s">
        <v>156</v>
      </c>
      <c r="M9">
        <v>1724</v>
      </c>
      <c r="N9">
        <v>107</v>
      </c>
      <c r="O9" t="s">
        <v>325</v>
      </c>
      <c r="P9">
        <v>1738</v>
      </c>
      <c r="Q9">
        <v>414</v>
      </c>
      <c r="AM9"/>
      <c r="AP9"/>
      <c r="AS9"/>
      <c r="AV9"/>
    </row>
    <row r="10" spans="1:48">
      <c r="A10" t="s">
        <v>457</v>
      </c>
      <c r="B10" t="s">
        <v>469</v>
      </c>
      <c r="C10" t="s">
        <v>470</v>
      </c>
      <c r="D10" s="2">
        <v>1655</v>
      </c>
      <c r="E10">
        <v>93</v>
      </c>
      <c r="F10" t="s">
        <v>471</v>
      </c>
      <c r="G10">
        <v>1645</v>
      </c>
      <c r="H10">
        <v>71</v>
      </c>
      <c r="I10" t="s">
        <v>472</v>
      </c>
      <c r="J10">
        <v>1625</v>
      </c>
      <c r="K10">
        <v>77</v>
      </c>
      <c r="L10" t="s">
        <v>473</v>
      </c>
      <c r="M10">
        <v>1644</v>
      </c>
      <c r="N10">
        <v>96</v>
      </c>
      <c r="O10" t="s">
        <v>474</v>
      </c>
      <c r="P10">
        <v>1645</v>
      </c>
      <c r="Q10">
        <v>71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1738</v>
      </c>
      <c r="E11">
        <v>296</v>
      </c>
      <c r="F11" t="s">
        <v>303</v>
      </c>
      <c r="G11">
        <v>1649</v>
      </c>
      <c r="H11">
        <v>215</v>
      </c>
      <c r="I11" t="s">
        <v>309</v>
      </c>
      <c r="J11">
        <v>1635</v>
      </c>
      <c r="K11">
        <v>206</v>
      </c>
      <c r="L11" t="s">
        <v>304</v>
      </c>
      <c r="M11">
        <v>1643</v>
      </c>
      <c r="N11">
        <v>234</v>
      </c>
      <c r="O11" t="s">
        <v>305</v>
      </c>
      <c r="P11">
        <v>1601</v>
      </c>
      <c r="Q11">
        <v>254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1578</v>
      </c>
      <c r="E12">
        <v>287</v>
      </c>
      <c r="F12" t="s">
        <v>397</v>
      </c>
      <c r="G12">
        <v>1474</v>
      </c>
      <c r="H12">
        <v>79</v>
      </c>
      <c r="I12" t="s">
        <v>38</v>
      </c>
      <c r="J12">
        <v>1529</v>
      </c>
      <c r="K12">
        <v>206</v>
      </c>
      <c r="L12" t="s">
        <v>39</v>
      </c>
      <c r="M12">
        <v>1565</v>
      </c>
      <c r="N12">
        <v>72</v>
      </c>
      <c r="O12" t="s">
        <v>40</v>
      </c>
      <c r="P12">
        <v>1558</v>
      </c>
      <c r="Q12">
        <v>296</v>
      </c>
      <c r="AM12"/>
      <c r="AP12"/>
      <c r="AS12"/>
      <c r="AV12"/>
    </row>
    <row r="13" spans="1:48">
      <c r="A13" t="s">
        <v>475</v>
      </c>
      <c r="B13" t="s">
        <v>476</v>
      </c>
      <c r="C13" t="s">
        <v>477</v>
      </c>
      <c r="D13" s="2">
        <v>1811</v>
      </c>
      <c r="E13">
        <v>62</v>
      </c>
      <c r="F13" t="s">
        <v>478</v>
      </c>
      <c r="G13">
        <v>1815</v>
      </c>
      <c r="H13">
        <v>80</v>
      </c>
      <c r="I13" t="s">
        <v>479</v>
      </c>
      <c r="J13">
        <v>1851</v>
      </c>
      <c r="K13">
        <v>250</v>
      </c>
      <c r="L13" t="s">
        <v>480</v>
      </c>
      <c r="M13">
        <v>1857</v>
      </c>
      <c r="N13">
        <v>178</v>
      </c>
      <c r="O13" t="s">
        <v>481</v>
      </c>
      <c r="P13">
        <v>1849</v>
      </c>
      <c r="Q13">
        <v>249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1627</v>
      </c>
      <c r="E14">
        <v>197</v>
      </c>
      <c r="F14" t="s">
        <v>208</v>
      </c>
      <c r="G14">
        <v>1513</v>
      </c>
      <c r="H14">
        <v>29</v>
      </c>
      <c r="I14" t="s">
        <v>336</v>
      </c>
      <c r="J14">
        <v>1661</v>
      </c>
      <c r="K14">
        <v>236</v>
      </c>
      <c r="L14" t="s">
        <v>209</v>
      </c>
      <c r="M14">
        <v>1595</v>
      </c>
      <c r="N14">
        <v>405</v>
      </c>
      <c r="O14" t="s">
        <v>210</v>
      </c>
      <c r="P14">
        <v>1565</v>
      </c>
      <c r="Q14">
        <v>50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1736</v>
      </c>
      <c r="E15">
        <v>372</v>
      </c>
      <c r="F15" t="s">
        <v>201</v>
      </c>
      <c r="G15">
        <v>1740</v>
      </c>
      <c r="H15">
        <v>157</v>
      </c>
      <c r="I15" t="s">
        <v>202</v>
      </c>
      <c r="J15">
        <v>1741</v>
      </c>
      <c r="K15">
        <v>166</v>
      </c>
      <c r="L15" t="s">
        <v>484</v>
      </c>
      <c r="M15">
        <v>1628</v>
      </c>
      <c r="N15">
        <v>54</v>
      </c>
      <c r="O15" t="s">
        <v>204</v>
      </c>
      <c r="P15">
        <v>1718</v>
      </c>
      <c r="Q15">
        <v>313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1519</v>
      </c>
      <c r="E16">
        <v>185</v>
      </c>
      <c r="F16" t="s">
        <v>319</v>
      </c>
      <c r="G16">
        <v>1553</v>
      </c>
      <c r="H16">
        <v>63</v>
      </c>
      <c r="I16" t="s">
        <v>327</v>
      </c>
      <c r="J16">
        <v>1497</v>
      </c>
      <c r="K16">
        <v>31</v>
      </c>
      <c r="L16" t="s">
        <v>86</v>
      </c>
      <c r="M16">
        <v>1528</v>
      </c>
      <c r="N16">
        <v>139</v>
      </c>
      <c r="O16" t="s">
        <v>87</v>
      </c>
      <c r="P16">
        <v>1527</v>
      </c>
      <c r="Q16">
        <v>108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1632</v>
      </c>
      <c r="E17">
        <v>191</v>
      </c>
      <c r="F17" t="s">
        <v>225</v>
      </c>
      <c r="G17">
        <v>1660</v>
      </c>
      <c r="H17">
        <v>356</v>
      </c>
      <c r="I17" t="s">
        <v>226</v>
      </c>
      <c r="J17">
        <v>1687</v>
      </c>
      <c r="K17">
        <v>254</v>
      </c>
      <c r="L17" t="s">
        <v>227</v>
      </c>
      <c r="M17">
        <v>1614</v>
      </c>
      <c r="N17">
        <v>191</v>
      </c>
      <c r="O17" t="s">
        <v>228</v>
      </c>
      <c r="P17">
        <v>1612</v>
      </c>
      <c r="Q17">
        <v>104</v>
      </c>
      <c r="AM17"/>
      <c r="AP17"/>
      <c r="AS17"/>
      <c r="AV17"/>
    </row>
    <row r="18" spans="1:48">
      <c r="A18" t="s">
        <v>411</v>
      </c>
      <c r="B18" t="s">
        <v>412</v>
      </c>
      <c r="C18" t="s">
        <v>413</v>
      </c>
      <c r="D18" s="2">
        <v>1237</v>
      </c>
      <c r="E18">
        <v>28</v>
      </c>
      <c r="F18" t="s">
        <v>447</v>
      </c>
      <c r="G18">
        <v>1339</v>
      </c>
      <c r="H18">
        <v>18</v>
      </c>
      <c r="I18" t="s">
        <v>414</v>
      </c>
      <c r="J18">
        <v>1332</v>
      </c>
      <c r="K18">
        <v>19</v>
      </c>
      <c r="L18" t="s">
        <v>445</v>
      </c>
      <c r="M18">
        <v>1237</v>
      </c>
      <c r="N18">
        <v>28</v>
      </c>
      <c r="O18" t="s">
        <v>415</v>
      </c>
      <c r="P18">
        <v>1243</v>
      </c>
      <c r="Q18">
        <v>22</v>
      </c>
      <c r="AM18"/>
      <c r="AP18"/>
      <c r="AS18"/>
      <c r="AV18"/>
    </row>
    <row r="19" spans="1:48">
      <c r="A19" t="s">
        <v>538</v>
      </c>
      <c r="B19" t="s">
        <v>538</v>
      </c>
      <c r="C19" t="s">
        <v>163</v>
      </c>
      <c r="D19" s="2">
        <v>1751</v>
      </c>
      <c r="E19">
        <v>405</v>
      </c>
      <c r="F19" t="s">
        <v>164</v>
      </c>
      <c r="G19">
        <v>1774</v>
      </c>
      <c r="H19">
        <v>347</v>
      </c>
      <c r="I19" t="s">
        <v>336</v>
      </c>
      <c r="J19">
        <v>1661</v>
      </c>
      <c r="K19">
        <v>236</v>
      </c>
      <c r="L19" t="s">
        <v>166</v>
      </c>
      <c r="M19">
        <v>1745</v>
      </c>
      <c r="N19">
        <v>272</v>
      </c>
      <c r="O19" t="s">
        <v>167</v>
      </c>
      <c r="P19">
        <v>1744</v>
      </c>
      <c r="Q19">
        <v>302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1516</v>
      </c>
      <c r="E20">
        <v>50</v>
      </c>
      <c r="F20" t="s">
        <v>50</v>
      </c>
      <c r="G20">
        <v>1436</v>
      </c>
      <c r="H20">
        <v>94</v>
      </c>
      <c r="I20" t="s">
        <v>51</v>
      </c>
      <c r="J20">
        <v>1472</v>
      </c>
      <c r="K20">
        <v>196</v>
      </c>
      <c r="L20" t="s">
        <v>52</v>
      </c>
      <c r="M20">
        <v>1436</v>
      </c>
      <c r="N20">
        <v>197</v>
      </c>
      <c r="O20" t="s">
        <v>53</v>
      </c>
      <c r="P20">
        <v>1568</v>
      </c>
      <c r="Q20">
        <v>31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1521</v>
      </c>
      <c r="E21">
        <v>222</v>
      </c>
      <c r="F21" t="s">
        <v>246</v>
      </c>
      <c r="G21">
        <v>1627</v>
      </c>
      <c r="H21">
        <v>160</v>
      </c>
      <c r="I21" t="s">
        <v>247</v>
      </c>
      <c r="J21">
        <v>1513</v>
      </c>
      <c r="K21">
        <v>304</v>
      </c>
      <c r="L21" t="s">
        <v>248</v>
      </c>
      <c r="M21">
        <v>1521</v>
      </c>
      <c r="N21">
        <v>93</v>
      </c>
      <c r="O21" t="s">
        <v>249</v>
      </c>
      <c r="P21">
        <v>1528</v>
      </c>
      <c r="Q21">
        <v>212</v>
      </c>
      <c r="AM21"/>
      <c r="AP21"/>
      <c r="AS21"/>
      <c r="AV21"/>
    </row>
    <row r="22" spans="1:48">
      <c r="A22" t="s">
        <v>520</v>
      </c>
      <c r="B22" t="s">
        <v>556</v>
      </c>
      <c r="C22" t="s">
        <v>557</v>
      </c>
      <c r="D22" s="2">
        <v>1732</v>
      </c>
      <c r="E22">
        <v>43</v>
      </c>
      <c r="F22" t="s">
        <v>558</v>
      </c>
      <c r="G22">
        <v>1732</v>
      </c>
      <c r="H22">
        <v>43</v>
      </c>
      <c r="I22" t="s">
        <v>559</v>
      </c>
      <c r="J22">
        <v>1717</v>
      </c>
      <c r="K22">
        <v>27</v>
      </c>
      <c r="L22" t="s">
        <v>560</v>
      </c>
      <c r="M22">
        <v>1732</v>
      </c>
      <c r="N22">
        <v>43</v>
      </c>
      <c r="O22" t="s">
        <v>566</v>
      </c>
      <c r="P22">
        <v>1699</v>
      </c>
      <c r="Q22">
        <v>48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1473</v>
      </c>
      <c r="E23">
        <v>145</v>
      </c>
      <c r="F23" t="s">
        <v>398</v>
      </c>
      <c r="G23">
        <v>1426</v>
      </c>
      <c r="H23">
        <v>218</v>
      </c>
      <c r="I23" t="s">
        <v>402</v>
      </c>
      <c r="J23">
        <v>1492</v>
      </c>
      <c r="K23">
        <v>145</v>
      </c>
      <c r="L23" t="s">
        <v>65</v>
      </c>
      <c r="M23">
        <v>1408</v>
      </c>
      <c r="N23">
        <v>33</v>
      </c>
      <c r="O23" t="s">
        <v>334</v>
      </c>
      <c r="P23">
        <v>1400</v>
      </c>
      <c r="Q23">
        <v>158</v>
      </c>
      <c r="AM23"/>
      <c r="AP23"/>
      <c r="AS23"/>
      <c r="AV23"/>
    </row>
    <row r="24" spans="1:48">
      <c r="A24" t="s">
        <v>416</v>
      </c>
      <c r="C24" t="s">
        <v>417</v>
      </c>
      <c r="D24" s="2">
        <v>1490</v>
      </c>
      <c r="E24">
        <v>44</v>
      </c>
      <c r="F24" t="s">
        <v>418</v>
      </c>
      <c r="G24">
        <v>1490</v>
      </c>
      <c r="H24">
        <v>44</v>
      </c>
      <c r="I24" t="s">
        <v>419</v>
      </c>
      <c r="J24">
        <v>1424</v>
      </c>
      <c r="K24">
        <v>23</v>
      </c>
      <c r="L24" t="s">
        <v>420</v>
      </c>
      <c r="M24">
        <v>1438</v>
      </c>
      <c r="N24">
        <v>45</v>
      </c>
      <c r="O24" t="s">
        <v>421</v>
      </c>
      <c r="P24">
        <v>1490</v>
      </c>
      <c r="Q24">
        <v>44</v>
      </c>
      <c r="AM24"/>
      <c r="AP24"/>
      <c r="AS24"/>
      <c r="AV24"/>
    </row>
    <row r="25" spans="1:48">
      <c r="A25" t="s">
        <v>571</v>
      </c>
      <c r="B25" t="s">
        <v>572</v>
      </c>
      <c r="C25" t="s">
        <v>278</v>
      </c>
      <c r="D25" s="2">
        <v>1635</v>
      </c>
      <c r="E25">
        <v>153</v>
      </c>
      <c r="F25" t="s">
        <v>341</v>
      </c>
      <c r="G25">
        <v>1634</v>
      </c>
      <c r="H25">
        <v>147</v>
      </c>
      <c r="I25" t="s">
        <v>340</v>
      </c>
      <c r="J25">
        <v>1634</v>
      </c>
      <c r="K25">
        <v>101</v>
      </c>
      <c r="L25" t="s">
        <v>279</v>
      </c>
      <c r="M25">
        <v>1636</v>
      </c>
      <c r="N25">
        <v>328</v>
      </c>
      <c r="O25" t="s">
        <v>330</v>
      </c>
      <c r="P25">
        <v>1635</v>
      </c>
      <c r="Q25">
        <v>236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575</v>
      </c>
      <c r="D26" s="2">
        <v>1673</v>
      </c>
      <c r="E26">
        <v>346</v>
      </c>
      <c r="F26" t="s">
        <v>241</v>
      </c>
      <c r="G26">
        <v>1771</v>
      </c>
      <c r="H26">
        <v>136</v>
      </c>
      <c r="I26" t="s">
        <v>335</v>
      </c>
      <c r="J26">
        <v>1776</v>
      </c>
      <c r="K26">
        <v>398</v>
      </c>
      <c r="L26" t="s">
        <v>242</v>
      </c>
      <c r="M26">
        <v>1773</v>
      </c>
      <c r="N26">
        <v>80</v>
      </c>
      <c r="O26" t="s">
        <v>243</v>
      </c>
      <c r="P26">
        <v>1775</v>
      </c>
      <c r="Q26">
        <v>200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1594</v>
      </c>
      <c r="E27">
        <v>79</v>
      </c>
      <c r="F27" t="s">
        <v>171</v>
      </c>
      <c r="G27">
        <v>1603</v>
      </c>
      <c r="H27">
        <v>123</v>
      </c>
      <c r="I27" t="s">
        <v>321</v>
      </c>
      <c r="J27">
        <v>1594</v>
      </c>
      <c r="K27">
        <v>79</v>
      </c>
      <c r="L27" t="s">
        <v>172</v>
      </c>
      <c r="M27">
        <v>1595</v>
      </c>
      <c r="N27">
        <v>160</v>
      </c>
      <c r="O27" t="s">
        <v>173</v>
      </c>
      <c r="P27">
        <v>1599</v>
      </c>
      <c r="Q27">
        <v>115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1532</v>
      </c>
      <c r="E28">
        <v>121</v>
      </c>
      <c r="F28" t="s">
        <v>5</v>
      </c>
      <c r="G28">
        <v>1546</v>
      </c>
      <c r="H28">
        <v>159</v>
      </c>
      <c r="I28" t="s">
        <v>343</v>
      </c>
      <c r="J28">
        <v>1523</v>
      </c>
      <c r="K28">
        <v>68</v>
      </c>
      <c r="L28" t="s">
        <v>6</v>
      </c>
      <c r="M28">
        <v>1536</v>
      </c>
      <c r="N28">
        <v>170</v>
      </c>
      <c r="O28" t="s">
        <v>573</v>
      </c>
      <c r="P28">
        <v>1474</v>
      </c>
      <c r="Q28">
        <v>46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1835</v>
      </c>
      <c r="E29">
        <v>429</v>
      </c>
      <c r="F29" t="s">
        <v>30</v>
      </c>
      <c r="G29">
        <v>1826</v>
      </c>
      <c r="H29">
        <v>414</v>
      </c>
      <c r="I29" t="s">
        <v>561</v>
      </c>
      <c r="J29">
        <v>1780</v>
      </c>
      <c r="K29">
        <v>55</v>
      </c>
      <c r="L29" t="s">
        <v>32</v>
      </c>
      <c r="M29">
        <v>1825</v>
      </c>
      <c r="N29">
        <v>452</v>
      </c>
      <c r="O29" t="s">
        <v>33</v>
      </c>
      <c r="P29">
        <v>1823</v>
      </c>
      <c r="Q29">
        <v>460</v>
      </c>
      <c r="AM29"/>
      <c r="AP29"/>
      <c r="AS29"/>
      <c r="AV29"/>
    </row>
    <row r="30" spans="1:48">
      <c r="A30" t="s">
        <v>127</v>
      </c>
      <c r="B30" t="s">
        <v>368</v>
      </c>
      <c r="C30" t="s">
        <v>128</v>
      </c>
      <c r="D30" s="2">
        <v>1807</v>
      </c>
      <c r="E30">
        <v>155</v>
      </c>
      <c r="F30" t="s">
        <v>129</v>
      </c>
      <c r="G30">
        <v>1857</v>
      </c>
      <c r="H30">
        <v>305</v>
      </c>
      <c r="I30" t="s">
        <v>130</v>
      </c>
      <c r="J30">
        <v>1802</v>
      </c>
      <c r="K30">
        <v>216</v>
      </c>
      <c r="L30" t="s">
        <v>131</v>
      </c>
      <c r="M30">
        <v>1810</v>
      </c>
      <c r="N30">
        <v>446</v>
      </c>
      <c r="O30" t="s">
        <v>132</v>
      </c>
      <c r="P30">
        <v>1810</v>
      </c>
      <c r="Q30">
        <v>442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1369</v>
      </c>
      <c r="E31">
        <v>133</v>
      </c>
      <c r="F31" t="s">
        <v>177</v>
      </c>
      <c r="G31">
        <v>1408</v>
      </c>
      <c r="H31">
        <v>99</v>
      </c>
      <c r="I31" t="s">
        <v>178</v>
      </c>
      <c r="J31">
        <v>1368</v>
      </c>
      <c r="K31">
        <v>183</v>
      </c>
      <c r="L31" t="s">
        <v>179</v>
      </c>
      <c r="M31">
        <v>1368</v>
      </c>
      <c r="N31">
        <v>173</v>
      </c>
      <c r="O31" t="s">
        <v>180</v>
      </c>
      <c r="P31">
        <v>1356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1499</v>
      </c>
      <c r="E32">
        <v>121</v>
      </c>
      <c r="F32" t="s">
        <v>57</v>
      </c>
      <c r="G32">
        <v>1478</v>
      </c>
      <c r="H32">
        <v>218</v>
      </c>
      <c r="I32" t="s">
        <v>320</v>
      </c>
      <c r="J32">
        <v>1482</v>
      </c>
      <c r="K32">
        <v>67</v>
      </c>
      <c r="L32" t="s">
        <v>19</v>
      </c>
      <c r="M32">
        <v>1548</v>
      </c>
      <c r="N32">
        <v>45</v>
      </c>
      <c r="O32" t="s">
        <v>59</v>
      </c>
      <c r="P32">
        <v>1503</v>
      </c>
      <c r="Q32">
        <v>341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1501</v>
      </c>
      <c r="E33">
        <v>231</v>
      </c>
      <c r="F33" t="s">
        <v>536</v>
      </c>
      <c r="G33">
        <v>1501</v>
      </c>
      <c r="H33">
        <v>236</v>
      </c>
      <c r="I33" t="s">
        <v>105</v>
      </c>
      <c r="J33">
        <v>1501</v>
      </c>
      <c r="K33">
        <v>236</v>
      </c>
      <c r="L33" t="s">
        <v>381</v>
      </c>
      <c r="M33">
        <v>1506</v>
      </c>
      <c r="N33">
        <v>247</v>
      </c>
      <c r="O33" t="s">
        <v>328</v>
      </c>
      <c r="P33">
        <v>1509</v>
      </c>
      <c r="Q33">
        <v>238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1621</v>
      </c>
      <c r="E34">
        <v>134</v>
      </c>
      <c r="F34" t="s">
        <v>143</v>
      </c>
      <c r="G34">
        <v>1617</v>
      </c>
      <c r="H34">
        <v>156</v>
      </c>
      <c r="I34" t="s">
        <v>144</v>
      </c>
      <c r="J34">
        <v>1614</v>
      </c>
      <c r="K34">
        <v>179</v>
      </c>
      <c r="L34" t="s">
        <v>145</v>
      </c>
      <c r="M34">
        <v>1621</v>
      </c>
      <c r="N34">
        <v>134</v>
      </c>
      <c r="O34" t="s">
        <v>146</v>
      </c>
      <c r="P34">
        <v>1614</v>
      </c>
      <c r="Q34">
        <v>156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1424</v>
      </c>
      <c r="E35">
        <v>288</v>
      </c>
      <c r="F35" t="s">
        <v>562</v>
      </c>
      <c r="G35">
        <v>1523</v>
      </c>
      <c r="H35">
        <v>197</v>
      </c>
      <c r="I35" t="s">
        <v>231</v>
      </c>
      <c r="J35">
        <v>1419</v>
      </c>
      <c r="K35">
        <v>213</v>
      </c>
      <c r="L35" t="s">
        <v>563</v>
      </c>
      <c r="M35">
        <v>1477</v>
      </c>
      <c r="N35">
        <v>79</v>
      </c>
      <c r="O35" t="s">
        <v>233</v>
      </c>
      <c r="P35">
        <v>1424</v>
      </c>
      <c r="Q35">
        <v>277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329</v>
      </c>
      <c r="D36" s="2">
        <v>1444</v>
      </c>
      <c r="E36">
        <v>182</v>
      </c>
      <c r="F36" t="s">
        <v>148</v>
      </c>
      <c r="G36">
        <v>1527</v>
      </c>
      <c r="H36">
        <v>106</v>
      </c>
      <c r="I36" t="s">
        <v>149</v>
      </c>
      <c r="J36">
        <v>1544</v>
      </c>
      <c r="K36">
        <v>270</v>
      </c>
      <c r="L36" t="s">
        <v>150</v>
      </c>
      <c r="M36">
        <v>1536</v>
      </c>
      <c r="N36">
        <v>362</v>
      </c>
      <c r="O36" t="s">
        <v>151</v>
      </c>
      <c r="P36">
        <v>1522</v>
      </c>
      <c r="Q36">
        <v>299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1520</v>
      </c>
      <c r="E37">
        <v>79</v>
      </c>
      <c r="F37" t="s">
        <v>91</v>
      </c>
      <c r="G37">
        <v>1517</v>
      </c>
      <c r="H37">
        <v>121</v>
      </c>
      <c r="I37" t="s">
        <v>92</v>
      </c>
      <c r="J37">
        <v>1486</v>
      </c>
      <c r="K37">
        <v>67</v>
      </c>
      <c r="L37" t="s">
        <v>93</v>
      </c>
      <c r="M37">
        <v>1484</v>
      </c>
      <c r="N37">
        <v>112</v>
      </c>
      <c r="O37" t="s">
        <v>94</v>
      </c>
      <c r="P37">
        <v>1523</v>
      </c>
      <c r="Q37">
        <v>68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1775</v>
      </c>
      <c r="E38">
        <v>229</v>
      </c>
      <c r="F38" t="s">
        <v>195</v>
      </c>
      <c r="G38">
        <v>1723</v>
      </c>
      <c r="H38">
        <v>158</v>
      </c>
      <c r="I38" t="s">
        <v>196</v>
      </c>
      <c r="J38">
        <v>1739</v>
      </c>
      <c r="K38">
        <v>267</v>
      </c>
      <c r="L38" t="s">
        <v>197</v>
      </c>
      <c r="M38">
        <v>1738</v>
      </c>
      <c r="N38">
        <v>308</v>
      </c>
      <c r="O38" t="s">
        <v>331</v>
      </c>
      <c r="P38">
        <v>1743</v>
      </c>
      <c r="Q38">
        <v>81</v>
      </c>
      <c r="AM38"/>
      <c r="AP38"/>
      <c r="AS38"/>
      <c r="AV38"/>
    </row>
    <row r="39" spans="1:48">
      <c r="A39" t="s">
        <v>422</v>
      </c>
      <c r="B39" t="s">
        <v>423</v>
      </c>
      <c r="C39" t="s">
        <v>424</v>
      </c>
      <c r="D39" s="2">
        <v>1663</v>
      </c>
      <c r="E39">
        <v>57</v>
      </c>
      <c r="F39" t="s">
        <v>425</v>
      </c>
      <c r="G39">
        <v>1582</v>
      </c>
      <c r="H39">
        <v>88</v>
      </c>
      <c r="I39" t="s">
        <v>426</v>
      </c>
      <c r="J39">
        <v>1582</v>
      </c>
      <c r="K39">
        <v>90</v>
      </c>
      <c r="L39" t="s">
        <v>427</v>
      </c>
      <c r="M39">
        <v>1558</v>
      </c>
      <c r="N39">
        <v>55</v>
      </c>
      <c r="O39" t="s">
        <v>428</v>
      </c>
      <c r="P39">
        <v>1652</v>
      </c>
      <c r="Q39">
        <v>99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1792</v>
      </c>
      <c r="E40">
        <v>250</v>
      </c>
      <c r="F40" t="s">
        <v>393</v>
      </c>
      <c r="G40">
        <v>1791</v>
      </c>
      <c r="H40">
        <v>370</v>
      </c>
      <c r="I40" t="s">
        <v>18</v>
      </c>
      <c r="J40">
        <v>1811</v>
      </c>
      <c r="K40">
        <v>422</v>
      </c>
      <c r="L40" t="s">
        <v>541</v>
      </c>
      <c r="M40">
        <v>1545</v>
      </c>
      <c r="N40">
        <v>15</v>
      </c>
      <c r="O40" t="s">
        <v>20</v>
      </c>
      <c r="P40">
        <v>1810</v>
      </c>
      <c r="Q40">
        <v>220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379</v>
      </c>
      <c r="D41" s="2">
        <v>1624</v>
      </c>
      <c r="E41">
        <v>82</v>
      </c>
      <c r="F41" t="s">
        <v>339</v>
      </c>
      <c r="G41">
        <v>1708</v>
      </c>
      <c r="H41">
        <v>215</v>
      </c>
      <c r="I41" t="s">
        <v>569</v>
      </c>
      <c r="J41">
        <v>1529</v>
      </c>
      <c r="K41">
        <v>100</v>
      </c>
      <c r="L41" t="s">
        <v>184</v>
      </c>
      <c r="M41">
        <v>1687</v>
      </c>
      <c r="N41">
        <v>497</v>
      </c>
      <c r="O41" t="s">
        <v>570</v>
      </c>
      <c r="P41">
        <v>1622</v>
      </c>
      <c r="Q41">
        <v>50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1542</v>
      </c>
      <c r="E42">
        <v>114</v>
      </c>
      <c r="F42" t="s">
        <v>395</v>
      </c>
      <c r="G42">
        <v>1545</v>
      </c>
      <c r="H42">
        <v>95</v>
      </c>
      <c r="I42" t="s">
        <v>564</v>
      </c>
      <c r="J42">
        <v>1449</v>
      </c>
      <c r="K42">
        <v>10</v>
      </c>
      <c r="L42" t="s">
        <v>76</v>
      </c>
      <c r="M42">
        <v>1544</v>
      </c>
      <c r="N42">
        <v>247</v>
      </c>
      <c r="O42" t="s">
        <v>77</v>
      </c>
      <c r="P42">
        <v>1542</v>
      </c>
      <c r="Q42">
        <v>111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1576</v>
      </c>
      <c r="E43">
        <v>363</v>
      </c>
      <c r="F43" t="s">
        <v>109</v>
      </c>
      <c r="G43">
        <v>1576</v>
      </c>
      <c r="H43">
        <v>202</v>
      </c>
      <c r="I43" t="s">
        <v>110</v>
      </c>
      <c r="J43">
        <v>1589</v>
      </c>
      <c r="K43">
        <v>77</v>
      </c>
      <c r="L43" t="s">
        <v>576</v>
      </c>
      <c r="M43">
        <v>1524</v>
      </c>
      <c r="N43">
        <v>15</v>
      </c>
      <c r="O43" t="s">
        <v>577</v>
      </c>
      <c r="P43">
        <v>1548</v>
      </c>
      <c r="Q43">
        <v>30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1622</v>
      </c>
      <c r="E44">
        <v>297</v>
      </c>
      <c r="F44" t="s">
        <v>123</v>
      </c>
      <c r="G44">
        <v>1604</v>
      </c>
      <c r="H44">
        <v>141</v>
      </c>
      <c r="I44" t="s">
        <v>124</v>
      </c>
      <c r="J44">
        <v>1572</v>
      </c>
      <c r="K44">
        <v>103</v>
      </c>
      <c r="L44" t="s">
        <v>125</v>
      </c>
      <c r="M44">
        <v>1597</v>
      </c>
      <c r="N44">
        <v>196</v>
      </c>
      <c r="O44" t="s">
        <v>126</v>
      </c>
      <c r="P44">
        <v>1572</v>
      </c>
      <c r="Q44">
        <v>211</v>
      </c>
      <c r="AM44"/>
      <c r="AS44"/>
      <c r="AV44"/>
    </row>
    <row r="45" spans="1:48">
      <c r="A45" t="s">
        <v>429</v>
      </c>
      <c r="C45" t="s">
        <v>449</v>
      </c>
      <c r="D45" s="2">
        <v>1699</v>
      </c>
      <c r="E45">
        <v>94</v>
      </c>
      <c r="F45" t="s">
        <v>430</v>
      </c>
      <c r="G45">
        <v>1707</v>
      </c>
      <c r="H45">
        <v>100</v>
      </c>
      <c r="I45" t="s">
        <v>431</v>
      </c>
      <c r="J45">
        <v>1707</v>
      </c>
      <c r="K45">
        <v>266</v>
      </c>
      <c r="L45" t="s">
        <v>432</v>
      </c>
      <c r="M45">
        <v>1707</v>
      </c>
      <c r="N45">
        <v>101</v>
      </c>
      <c r="O45" t="s">
        <v>450</v>
      </c>
      <c r="P45">
        <v>1725</v>
      </c>
      <c r="Q45">
        <v>308</v>
      </c>
    </row>
    <row r="46" spans="1:48">
      <c r="A46" t="s">
        <v>433</v>
      </c>
      <c r="C46" t="s">
        <v>446</v>
      </c>
      <c r="D46" s="2">
        <v>1410</v>
      </c>
      <c r="E46">
        <v>59</v>
      </c>
      <c r="F46" t="s">
        <v>434</v>
      </c>
      <c r="G46">
        <v>1406</v>
      </c>
      <c r="H46">
        <v>150</v>
      </c>
      <c r="I46" t="s">
        <v>435</v>
      </c>
      <c r="J46">
        <v>1434</v>
      </c>
      <c r="K46">
        <v>101</v>
      </c>
      <c r="L46" t="s">
        <v>436</v>
      </c>
      <c r="M46">
        <v>1413</v>
      </c>
      <c r="N46">
        <v>106</v>
      </c>
      <c r="O46" t="s">
        <v>437</v>
      </c>
      <c r="P46">
        <v>1445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1742</v>
      </c>
      <c r="E47">
        <v>337</v>
      </c>
      <c r="F47" t="s">
        <v>188</v>
      </c>
      <c r="G47">
        <v>1721</v>
      </c>
      <c r="H47">
        <v>374</v>
      </c>
      <c r="I47" t="s">
        <v>189</v>
      </c>
      <c r="J47">
        <v>1721</v>
      </c>
      <c r="K47">
        <v>353</v>
      </c>
      <c r="L47" t="s">
        <v>190</v>
      </c>
      <c r="M47">
        <v>1755</v>
      </c>
      <c r="N47">
        <v>371</v>
      </c>
      <c r="O47" t="s">
        <v>191</v>
      </c>
      <c r="P47">
        <v>1720</v>
      </c>
      <c r="Q47">
        <v>201</v>
      </c>
    </row>
    <row r="48" spans="1:48">
      <c r="A48" t="s">
        <v>113</v>
      </c>
      <c r="B48" t="s">
        <v>114</v>
      </c>
      <c r="C48" t="s">
        <v>115</v>
      </c>
      <c r="D48" s="2">
        <v>1733</v>
      </c>
      <c r="E48">
        <v>319</v>
      </c>
      <c r="F48" t="s">
        <v>116</v>
      </c>
      <c r="G48">
        <v>1567</v>
      </c>
      <c r="H48">
        <v>91</v>
      </c>
      <c r="I48" t="s">
        <v>117</v>
      </c>
      <c r="J48">
        <v>1733</v>
      </c>
      <c r="K48">
        <v>430</v>
      </c>
      <c r="L48" t="s">
        <v>118</v>
      </c>
      <c r="M48">
        <v>1686</v>
      </c>
      <c r="N48">
        <v>297</v>
      </c>
      <c r="O48" t="s">
        <v>119</v>
      </c>
      <c r="P48">
        <v>1686</v>
      </c>
      <c r="Q48">
        <v>305</v>
      </c>
      <c r="AM48" s="15"/>
    </row>
    <row r="49" spans="1:42">
      <c r="A49" t="s">
        <v>157</v>
      </c>
      <c r="B49" t="s">
        <v>158</v>
      </c>
      <c r="C49">
        <v>957</v>
      </c>
      <c r="D49" s="2">
        <v>1557</v>
      </c>
      <c r="E49">
        <v>335</v>
      </c>
      <c r="F49" t="s">
        <v>394</v>
      </c>
      <c r="G49">
        <v>1628</v>
      </c>
      <c r="H49">
        <v>355</v>
      </c>
      <c r="I49" t="s">
        <v>159</v>
      </c>
      <c r="J49">
        <v>1557</v>
      </c>
      <c r="K49">
        <v>407</v>
      </c>
      <c r="L49" t="s">
        <v>160</v>
      </c>
      <c r="M49">
        <v>1626</v>
      </c>
      <c r="N49">
        <v>395</v>
      </c>
      <c r="O49" t="s">
        <v>540</v>
      </c>
      <c r="P49">
        <v>1540</v>
      </c>
      <c r="Q49">
        <v>40</v>
      </c>
    </row>
    <row r="50" spans="1:42">
      <c r="A50" t="s">
        <v>216</v>
      </c>
      <c r="B50" t="s">
        <v>217</v>
      </c>
      <c r="C50" t="s">
        <v>399</v>
      </c>
      <c r="D50" s="2">
        <v>1555</v>
      </c>
      <c r="E50">
        <v>341</v>
      </c>
      <c r="F50" t="s">
        <v>218</v>
      </c>
      <c r="G50">
        <v>1390</v>
      </c>
      <c r="H50">
        <v>59</v>
      </c>
      <c r="I50" t="s">
        <v>400</v>
      </c>
      <c r="J50">
        <v>1427</v>
      </c>
      <c r="K50">
        <v>147</v>
      </c>
      <c r="L50" t="s">
        <v>220</v>
      </c>
      <c r="M50">
        <v>1467</v>
      </c>
      <c r="N50">
        <v>102</v>
      </c>
      <c r="O50" t="s">
        <v>221</v>
      </c>
      <c r="P50">
        <v>1462</v>
      </c>
      <c r="Q50">
        <v>81</v>
      </c>
    </row>
    <row r="51" spans="1:42">
      <c r="A51" t="s">
        <v>211</v>
      </c>
      <c r="B51" t="s">
        <v>282</v>
      </c>
      <c r="C51" t="s">
        <v>212</v>
      </c>
      <c r="D51" s="2">
        <v>1419</v>
      </c>
      <c r="E51">
        <v>41</v>
      </c>
      <c r="F51" t="s">
        <v>333</v>
      </c>
      <c r="G51">
        <v>1507</v>
      </c>
      <c r="H51">
        <v>200</v>
      </c>
      <c r="I51" t="s">
        <v>213</v>
      </c>
      <c r="J51">
        <v>1523</v>
      </c>
      <c r="K51">
        <v>193</v>
      </c>
      <c r="L51" t="s">
        <v>214</v>
      </c>
      <c r="M51">
        <v>1532</v>
      </c>
      <c r="N51">
        <v>120</v>
      </c>
      <c r="O51" t="s">
        <v>215</v>
      </c>
      <c r="P51">
        <v>1441</v>
      </c>
      <c r="Q51">
        <v>149</v>
      </c>
    </row>
    <row r="52" spans="1:42">
      <c r="A52" t="s">
        <v>78</v>
      </c>
      <c r="B52" t="s">
        <v>79</v>
      </c>
      <c r="C52" t="s">
        <v>396</v>
      </c>
      <c r="D52" s="2">
        <v>1421</v>
      </c>
      <c r="E52">
        <v>195</v>
      </c>
      <c r="F52" t="s">
        <v>80</v>
      </c>
      <c r="G52">
        <v>1366</v>
      </c>
      <c r="H52">
        <v>114</v>
      </c>
      <c r="I52" t="s">
        <v>81</v>
      </c>
      <c r="J52">
        <v>1393</v>
      </c>
      <c r="K52">
        <v>216</v>
      </c>
      <c r="L52" t="s">
        <v>82</v>
      </c>
      <c r="M52">
        <v>1424</v>
      </c>
      <c r="N52">
        <v>102</v>
      </c>
      <c r="O52" t="s">
        <v>83</v>
      </c>
      <c r="P52">
        <v>1352</v>
      </c>
      <c r="Q52">
        <v>169</v>
      </c>
    </row>
    <row r="53" spans="1:42">
      <c r="A53" t="s">
        <v>348</v>
      </c>
      <c r="B53" t="s">
        <v>285</v>
      </c>
      <c r="C53" t="s">
        <v>286</v>
      </c>
      <c r="D53" s="2">
        <v>1540</v>
      </c>
      <c r="E53">
        <v>213</v>
      </c>
      <c r="F53" t="s">
        <v>287</v>
      </c>
      <c r="G53">
        <v>1566</v>
      </c>
      <c r="H53">
        <v>161</v>
      </c>
      <c r="I53" t="s">
        <v>288</v>
      </c>
      <c r="J53">
        <v>1580</v>
      </c>
      <c r="K53">
        <v>64</v>
      </c>
      <c r="L53" t="s">
        <v>289</v>
      </c>
      <c r="M53">
        <v>1450</v>
      </c>
      <c r="N53">
        <v>0</v>
      </c>
      <c r="O53" t="s">
        <v>332</v>
      </c>
      <c r="P53">
        <v>1591</v>
      </c>
      <c r="Q53">
        <v>62</v>
      </c>
    </row>
    <row r="54" spans="1:42">
      <c r="A54" t="s">
        <v>438</v>
      </c>
      <c r="C54" t="s">
        <v>439</v>
      </c>
      <c r="D54" s="2">
        <v>1468</v>
      </c>
      <c r="E54">
        <v>80</v>
      </c>
      <c r="F54" t="s">
        <v>440</v>
      </c>
      <c r="G54">
        <v>1468</v>
      </c>
      <c r="H54">
        <v>62</v>
      </c>
      <c r="I54" t="s">
        <v>441</v>
      </c>
      <c r="J54">
        <v>1555</v>
      </c>
      <c r="K54">
        <v>31</v>
      </c>
      <c r="L54" t="s">
        <v>442</v>
      </c>
      <c r="M54">
        <v>1468</v>
      </c>
      <c r="N54">
        <v>62</v>
      </c>
      <c r="O54" t="s">
        <v>443</v>
      </c>
      <c r="P54">
        <v>1438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1496</v>
      </c>
      <c r="E55">
        <v>245</v>
      </c>
      <c r="F55" t="s">
        <v>11</v>
      </c>
      <c r="G55">
        <v>1583</v>
      </c>
      <c r="H55">
        <v>278</v>
      </c>
      <c r="I55" t="s">
        <v>12</v>
      </c>
      <c r="J55">
        <v>1491</v>
      </c>
      <c r="K55">
        <v>241</v>
      </c>
      <c r="L55" t="s">
        <v>13</v>
      </c>
      <c r="M55">
        <v>1509</v>
      </c>
      <c r="N55">
        <v>177</v>
      </c>
      <c r="O55" t="s">
        <v>14</v>
      </c>
      <c r="P55">
        <v>1517</v>
      </c>
      <c r="Q55">
        <v>231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19</v>
      </c>
      <c r="D69" t="str">
        <f>INDEX(A1:A55,C69)</f>
        <v>Gen.G</v>
      </c>
    </row>
    <row r="70" spans="3:48">
      <c r="C70">
        <v>22</v>
      </c>
      <c r="D70" t="str">
        <f>INDEX(A1:A55,C70)</f>
        <v>Griffin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16</v>
      </c>
      <c r="E79">
        <v>16</v>
      </c>
      <c r="K79" s="17"/>
    </row>
    <row r="80" spans="3:48">
      <c r="C80" t="s">
        <v>372</v>
      </c>
      <c r="D80" s="15">
        <f>IF($D$111=2,(Laskin!D12+D79)*E103,Laskin!D12+D79)</f>
        <v>1751</v>
      </c>
    </row>
    <row r="81" spans="3:10">
      <c r="C81" t="s">
        <v>373</v>
      </c>
      <c r="D81" s="15">
        <f>IF(D111=2,Laskin!D12*E103,Laskin!D12)</f>
        <v>1735</v>
      </c>
      <c r="I81" s="16" t="s">
        <v>265</v>
      </c>
      <c r="J81" s="17">
        <f>J84+J85</f>
        <v>0.53863607801833258</v>
      </c>
    </row>
    <row r="82" spans="3:10">
      <c r="C82" t="s">
        <v>374</v>
      </c>
      <c r="D82" s="15">
        <f>IF(D111=2,(Laskin!L12+D79)*F103,Laskin!L12+D79)</f>
        <v>1738.4</v>
      </c>
      <c r="I82" s="16" t="s">
        <v>266</v>
      </c>
      <c r="J82" s="17">
        <f>1-J81</f>
        <v>0.46136392198166742</v>
      </c>
    </row>
    <row r="83" spans="3:10">
      <c r="C83" t="s">
        <v>375</v>
      </c>
      <c r="D83" s="15">
        <f>IF(D111=2,Laskin!L12*F103,Laskin!L12)</f>
        <v>1722.4</v>
      </c>
      <c r="J83" s="17"/>
    </row>
    <row r="84" spans="3:10">
      <c r="I84" s="18" t="s">
        <v>271</v>
      </c>
      <c r="J84" s="17">
        <f>D86*D90</f>
        <v>0.26788564914745172</v>
      </c>
    </row>
    <row r="85" spans="3:10">
      <c r="I85" s="18" t="s">
        <v>272</v>
      </c>
      <c r="J85" s="17">
        <f>D86*D89*D86+D87*D90*D86</f>
        <v>0.27075042887088085</v>
      </c>
    </row>
    <row r="86" spans="3:10">
      <c r="C86" t="s">
        <v>262</v>
      </c>
      <c r="D86" s="3">
        <f>1/(1+(10^((D83-(D80))/400)))</f>
        <v>0.5410659938697262</v>
      </c>
      <c r="I86" s="18" t="s">
        <v>273</v>
      </c>
      <c r="J86" s="17">
        <f>1-J87-J84-J85</f>
        <v>0.22965142956872031</v>
      </c>
    </row>
    <row r="87" spans="3:10">
      <c r="C87" t="s">
        <v>263</v>
      </c>
      <c r="D87" s="3">
        <f>1-D86</f>
        <v>0.4589340061302738</v>
      </c>
      <c r="I87" s="18" t="s">
        <v>274</v>
      </c>
      <c r="J87" s="17">
        <f>D87*D89</f>
        <v>0.23171249241294711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0.50489283713522159</v>
      </c>
      <c r="J89" s="17"/>
    </row>
    <row r="90" spans="3:10">
      <c r="C90" t="s">
        <v>270</v>
      </c>
      <c r="D90" s="3">
        <f>1-D89</f>
        <v>0.49510716286477841</v>
      </c>
      <c r="J90" s="17"/>
    </row>
    <row r="94" spans="3:10">
      <c r="C94" t="str">
        <f>Laskin!E26</f>
        <v>lose</v>
      </c>
      <c r="D94" s="3" t="str">
        <f>Laskin!K26</f>
        <v>win</v>
      </c>
      <c r="E94">
        <f>IF(C94="win",1,0)</f>
        <v>0</v>
      </c>
      <c r="F94">
        <f>IF(D94="win",1,0)</f>
        <v>1</v>
      </c>
    </row>
    <row r="95" spans="3:10">
      <c r="C95" t="str">
        <f>Laskin!E27</f>
        <v>lose</v>
      </c>
      <c r="D95" s="3" t="str">
        <f>Laskin!K27</f>
        <v>win</v>
      </c>
      <c r="E95">
        <f t="shared" ref="E95:E98" si="0">IF(C95="win",1,0)</f>
        <v>0</v>
      </c>
      <c r="F95">
        <f t="shared" ref="F95:F98" si="1">IF(D95="win",1,0)</f>
        <v>1</v>
      </c>
    </row>
    <row r="96" spans="3:10">
      <c r="C96" t="str">
        <f>Laskin!E28</f>
        <v>win</v>
      </c>
      <c r="D96" s="3" t="str">
        <f>Laskin!K28</f>
        <v>lose</v>
      </c>
      <c r="E96">
        <f t="shared" si="0"/>
        <v>1</v>
      </c>
      <c r="F96">
        <f t="shared" si="1"/>
        <v>0</v>
      </c>
    </row>
    <row r="97" spans="3:6">
      <c r="C97" t="str">
        <f>Laskin!E29</f>
        <v>win</v>
      </c>
      <c r="D97" s="3" t="str">
        <f>Laskin!K29</f>
        <v>win</v>
      </c>
      <c r="E97">
        <f t="shared" si="0"/>
        <v>1</v>
      </c>
      <c r="F97">
        <f t="shared" si="1"/>
        <v>1</v>
      </c>
    </row>
    <row r="98" spans="3:6">
      <c r="C98" t="str">
        <f>Laskin!E30</f>
        <v>lose</v>
      </c>
      <c r="D98" s="3" t="str">
        <f>Laskin!K30</f>
        <v>lose</v>
      </c>
      <c r="E98">
        <f t="shared" si="0"/>
        <v>0</v>
      </c>
      <c r="F98">
        <f t="shared" si="1"/>
        <v>0</v>
      </c>
    </row>
    <row r="102" spans="3:6">
      <c r="C102" t="s">
        <v>459</v>
      </c>
      <c r="D102" s="3">
        <v>1</v>
      </c>
      <c r="E102">
        <v>1</v>
      </c>
      <c r="F102">
        <v>1</v>
      </c>
    </row>
    <row r="103" spans="3:6">
      <c r="C103" t="s">
        <v>460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461</v>
      </c>
      <c r="D104" s="3">
        <v>0.95</v>
      </c>
    </row>
    <row r="105" spans="3:6">
      <c r="C105" t="s">
        <v>462</v>
      </c>
      <c r="D105" s="3">
        <v>1</v>
      </c>
    </row>
    <row r="106" spans="3:6">
      <c r="C106" t="s">
        <v>463</v>
      </c>
      <c r="D106" s="3">
        <v>1</v>
      </c>
    </row>
    <row r="107" spans="3:6">
      <c r="C107" t="s">
        <v>464</v>
      </c>
      <c r="D107" s="3">
        <v>0.8</v>
      </c>
    </row>
    <row r="108" spans="3:6">
      <c r="C108" t="s">
        <v>465</v>
      </c>
      <c r="D108" s="3">
        <v>0.7</v>
      </c>
    </row>
    <row r="109" spans="3:6">
      <c r="C109" t="s">
        <v>466</v>
      </c>
      <c r="D109" s="3">
        <v>0.9</v>
      </c>
    </row>
    <row r="111" spans="3:6">
      <c r="C111" t="s">
        <v>467</v>
      </c>
      <c r="D111" s="3">
        <v>1</v>
      </c>
    </row>
    <row r="112" spans="3:6">
      <c r="C112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zoomScale="85" zoomScaleNormal="85" workbookViewId="0">
      <selection activeCell="N19" sqref="N19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458</v>
      </c>
      <c r="H1" s="109" t="s">
        <v>458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CuVee</v>
      </c>
      <c r="D6" s="84">
        <f>VLOOKUP(Data!$D$69,Data!Excel_data,4,FALSE)</f>
        <v>1751</v>
      </c>
      <c r="E6" s="8">
        <f>VLOOKUP(Data!$D$69,Data!Excel_data,5,FALSE)</f>
        <v>405</v>
      </c>
      <c r="F6" s="91"/>
      <c r="G6" s="91"/>
      <c r="H6" s="91"/>
      <c r="I6" s="36"/>
      <c r="J6" s="37" t="s">
        <v>250</v>
      </c>
      <c r="K6" s="7" t="str">
        <f>VLOOKUP(Data!$D$70,Data!Excel_data,3,FALSE)</f>
        <v>Sword</v>
      </c>
      <c r="L6" s="84">
        <f>VLOOKUP(Data!$D$70,Data!Excel_data,4,FALSE)</f>
        <v>1732</v>
      </c>
      <c r="M6" s="8">
        <f>VLOOKUP(Data!$D$70,Data!Excel_data,5,FALSE)</f>
        <v>43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Ambition</v>
      </c>
      <c r="D7" s="67">
        <f>VLOOKUP(Data!$D$69,Data!Excel_data,7,FALSE)</f>
        <v>1774</v>
      </c>
      <c r="E7" s="10">
        <f>VLOOKUP(Data!$D$69,Data!Excel_data,8,FALSE)</f>
        <v>347</v>
      </c>
      <c r="F7" s="91"/>
      <c r="G7" s="91"/>
      <c r="H7" s="91"/>
      <c r="I7" s="36"/>
      <c r="J7" s="38" t="s">
        <v>251</v>
      </c>
      <c r="K7" s="9" t="str">
        <f>VLOOKUP(Data!$D$70,Data!Excel_data,6,FALSE)</f>
        <v>Tarzan</v>
      </c>
      <c r="L7" s="67">
        <f>VLOOKUP(Data!$D$70,Data!Excel_data,7,FALSE)</f>
        <v>1732</v>
      </c>
      <c r="M7" s="10">
        <f>VLOOKUP(Data!$D$70,Data!Excel_data,8,FALSE)</f>
        <v>43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Fly</v>
      </c>
      <c r="D8" s="67">
        <f>VLOOKUP(Data!$D$69,Data!Excel_data,10,FALSE)</f>
        <v>1661</v>
      </c>
      <c r="E8" s="10">
        <f>VLOOKUP(Data!$D$69,Data!Excel_data,11,FALSE)</f>
        <v>236</v>
      </c>
      <c r="F8" s="91"/>
      <c r="G8" s="91"/>
      <c r="H8" s="91"/>
      <c r="I8" s="36"/>
      <c r="J8" s="38" t="s">
        <v>252</v>
      </c>
      <c r="K8" s="9" t="str">
        <f>VLOOKUP(Data!$D$70,Data!Excel_data,9,FALSE)</f>
        <v>Chovy</v>
      </c>
      <c r="L8" s="67">
        <f>VLOOKUP(Data!$D$70,Data!Excel_data,10,FALSE)</f>
        <v>1717</v>
      </c>
      <c r="M8" s="10">
        <f>VLOOKUP(Data!$D$70,Data!Excel_data,11,FALSE)</f>
        <v>27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Ruler</v>
      </c>
      <c r="D9" s="67">
        <f>VLOOKUP(Data!$D$69,Data!Excel_data,13,FALSE)</f>
        <v>1745</v>
      </c>
      <c r="E9" s="10">
        <f>VLOOKUP(Data!$D$69,Data!Excel_data,14,FALSE)</f>
        <v>272</v>
      </c>
      <c r="F9" s="91"/>
      <c r="G9" s="91"/>
      <c r="H9" s="91"/>
      <c r="I9" s="36"/>
      <c r="J9" s="38" t="s">
        <v>253</v>
      </c>
      <c r="K9" s="9" t="str">
        <f>VLOOKUP(Data!$D$70,Data!Excel_data,12,FALSE)</f>
        <v>Viper</v>
      </c>
      <c r="L9" s="67">
        <f>VLOOKUP(Data!$D$70,Data!Excel_data,13,FALSE)</f>
        <v>1732</v>
      </c>
      <c r="M9" s="10">
        <f>VLOOKUP(Data!$D$70,Data!Excel_data,14,FALSE)</f>
        <v>43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CoreJJ</v>
      </c>
      <c r="D10" s="85">
        <f>VLOOKUP(Data!$D$69,Data!Excel_data,16,FALSE)</f>
        <v>1744</v>
      </c>
      <c r="E10" s="12">
        <f>VLOOKUP(Data!$D$69,Data!Excel_data,17,FALSE)</f>
        <v>302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Lehends</v>
      </c>
      <c r="L10" s="85">
        <f>VLOOKUP(Data!$D$70,Data!Excel_data,16,FALSE)</f>
        <v>1699</v>
      </c>
      <c r="M10" s="12">
        <f>VLOOKUP(Data!$D$70,Data!Excel_data,17,FALSE)</f>
        <v>48</v>
      </c>
      <c r="N10" s="91"/>
      <c r="O10" s="91"/>
      <c r="P10" s="91"/>
    </row>
    <row r="12" spans="2:16">
      <c r="C12" s="5" t="s">
        <v>275</v>
      </c>
      <c r="D12" s="6">
        <f>AVERAGE(D6:D10)</f>
        <v>1735</v>
      </c>
      <c r="E12" s="5"/>
      <c r="F12" s="6"/>
      <c r="K12" s="5" t="s">
        <v>275</v>
      </c>
      <c r="L12" s="6">
        <f>AVERAGE(L6:L10)</f>
        <v>1722.4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0.53863607801833258</v>
      </c>
      <c r="E15" s="78">
        <f>1/D15</f>
        <v>1.8565410688401098</v>
      </c>
      <c r="G15" s="4" t="s">
        <v>0</v>
      </c>
      <c r="H15" s="57">
        <f>Data!D79</f>
        <v>16</v>
      </c>
      <c r="J15" s="77">
        <f>IF(Data!D76=1,Data!D87,IF(Data!D76=3,Data!J82))</f>
        <v>0.46136392198166742</v>
      </c>
      <c r="K15" s="78">
        <f>1/J15</f>
        <v>2.1674863428955669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0.76828750758705289</v>
      </c>
      <c r="E16" s="20">
        <f>IF(D16&lt;&gt;"",1/D16,"")</f>
        <v>1.3015960693421691</v>
      </c>
      <c r="J16" s="79">
        <f>IF(Data!D76=3,Data!J86+Data!J87+Data!J85,"")</f>
        <v>0.73211435085254828</v>
      </c>
      <c r="K16" s="20">
        <f>IF(J16&lt;&gt;"",1/J16,"")</f>
        <v>1.3659068406943511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0.26788564914745172</v>
      </c>
      <c r="E17" s="82">
        <f>IF(D17&lt;&gt;"",1/D17,"")</f>
        <v>3.7329360612728162</v>
      </c>
      <c r="J17" s="81">
        <f>IF(Data!D76=3,Data!J87,"")</f>
        <v>0.23171249241294711</v>
      </c>
      <c r="K17" s="82">
        <f>IF(J17&lt;&gt;"",1/J17,"")</f>
        <v>4.3156930797578532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Gen.G</v>
      </c>
      <c r="E19" s="88" t="str">
        <f>VLOOKUP(Data!$D$70,Data!Excel_data,2,FALSE)</f>
        <v>FIN</v>
      </c>
      <c r="J19" s="68" t="s">
        <v>268</v>
      </c>
      <c r="K19" s="68" t="s">
        <v>269</v>
      </c>
    </row>
    <row r="20" spans="1:13">
      <c r="C20" s="88" t="s">
        <v>377</v>
      </c>
      <c r="D20" s="72">
        <f>Data!D86</f>
        <v>0.5410659938697262</v>
      </c>
      <c r="E20" s="72">
        <f>Data!D87</f>
        <v>0.4589340061302738</v>
      </c>
      <c r="F20" s="73">
        <f>1/D20</f>
        <v>1.8482033824524047</v>
      </c>
      <c r="G20" s="73">
        <f>1/E20</f>
        <v>2.178962523243785</v>
      </c>
      <c r="I20" s="66" t="str">
        <f>IF(Data!D76=3,"Over 2,5","")</f>
        <v>Over 2,5</v>
      </c>
      <c r="J20" s="72">
        <f>IF(Data!D76=3,Data!J85+Data!J86,"")</f>
        <v>0.50040185843960117</v>
      </c>
      <c r="K20" s="73">
        <f>IF(J20&lt;&gt;"",1/J20,"")</f>
        <v>1.9983938571257338</v>
      </c>
    </row>
    <row r="21" spans="1:13">
      <c r="C21" s="88" t="s">
        <v>376</v>
      </c>
      <c r="D21" s="72">
        <f>Data!D90</f>
        <v>0.49510716286477841</v>
      </c>
      <c r="E21" s="72">
        <f>Data!D89</f>
        <v>0.50489283713522159</v>
      </c>
      <c r="F21" s="73">
        <f t="shared" ref="F21:F22" si="0">1/D21</f>
        <v>2.0197647600447173</v>
      </c>
      <c r="G21" s="73">
        <f>1/E21</f>
        <v>1.9806183143219709</v>
      </c>
      <c r="I21" s="66" t="str">
        <f>IF(Data!D76=3,"Under 2,5","")</f>
        <v>Under 2,5</v>
      </c>
      <c r="J21" s="72">
        <f>IF(Data!D76=3,Data!J87+Data!J84,"")</f>
        <v>0.49959814156039883</v>
      </c>
      <c r="K21" s="73">
        <f>IF(J21&lt;&gt;"",1/J21,"")</f>
        <v>2.0016087267192231</v>
      </c>
    </row>
    <row r="22" spans="1:13">
      <c r="C22" s="88" t="s">
        <v>378</v>
      </c>
      <c r="D22" s="72">
        <f>D20</f>
        <v>0.5410659938697262</v>
      </c>
      <c r="E22" s="72">
        <f>E20</f>
        <v>0.4589340061302738</v>
      </c>
      <c r="F22" s="73">
        <f t="shared" si="0"/>
        <v>1.8482033824524047</v>
      </c>
      <c r="G22" s="73">
        <f t="shared" ref="G22" si="1">1/E22</f>
        <v>2.178962523243785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Data!D69&amp;" last 5 games:"</f>
        <v>Gen.G last 5 games:</v>
      </c>
      <c r="D24" s="110"/>
      <c r="E24" s="110"/>
      <c r="F24" s="110"/>
      <c r="G24" s="110"/>
      <c r="I24" s="110" t="str">
        <f>Data!D70&amp;" last 5 games:"</f>
        <v>Griffin last 5 games:</v>
      </c>
      <c r="J24" s="110"/>
      <c r="K24" s="110"/>
      <c r="L24" s="110"/>
      <c r="M24" s="110"/>
    </row>
    <row r="25" spans="1:13">
      <c r="A25" s="21"/>
      <c r="C25" s="123" t="s">
        <v>365</v>
      </c>
      <c r="D25" s="123"/>
      <c r="E25" s="68" t="s">
        <v>366</v>
      </c>
      <c r="F25" s="123" t="s">
        <v>367</v>
      </c>
      <c r="G25" s="123"/>
      <c r="I25" s="123" t="s">
        <v>365</v>
      </c>
      <c r="J25" s="123"/>
      <c r="K25" s="68" t="s">
        <v>366</v>
      </c>
      <c r="L25" s="123" t="s">
        <v>367</v>
      </c>
      <c r="M25" s="123"/>
    </row>
    <row r="26" spans="1:13">
      <c r="A26" s="21"/>
      <c r="C26" s="121" t="str">
        <f>VLOOKUP(Data!$D$69,Last_games!Team_last_game_data_1,14,FALSE)</f>
        <v>CuVee,Ambition,Fly,Ruler,CoreJJ</v>
      </c>
      <c r="D26" s="121"/>
      <c r="E26" s="83" t="str">
        <f>VLOOKUP(Data!$D$69,Last_games!Team_last_game_data_1,15,FALSE)</f>
        <v>lose</v>
      </c>
      <c r="F26" s="122" t="str">
        <f>VLOOKUP(Data!$D$69,Last_games!Team_last_game_data_1,16,FALSE)</f>
        <v>KT Rolster</v>
      </c>
      <c r="G26" s="122"/>
      <c r="I26" s="121" t="str">
        <f>VLOOKUP(Data!$D$70,Last_games!Team_last_game_data_1,14,FALSE)</f>
        <v>Sword,Tarzan,Chovy,Viper,Lehends</v>
      </c>
      <c r="J26" s="121"/>
      <c r="K26" s="83" t="str">
        <f>VLOOKUP(Data!$D$70,Last_games!Team_last_game_data_1,15,FALSE)</f>
        <v>win</v>
      </c>
      <c r="L26" s="122" t="str">
        <f>VLOOKUP(Data!$D$70,Last_games!Team_last_game_data_1,16,FALSE)</f>
        <v>Kingzone DragonX</v>
      </c>
      <c r="M26" s="122"/>
    </row>
    <row r="27" spans="1:13">
      <c r="A27" s="21"/>
      <c r="C27" s="121" t="str">
        <f>VLOOKUP(Data!$D$69,Last_games!Team_last_game_data_1,11,FALSE)</f>
        <v>CuVee,Ambition,Fly,Ruler,CoreJJ</v>
      </c>
      <c r="D27" s="121"/>
      <c r="E27" s="83" t="str">
        <f>VLOOKUP(Data!$D$69,Last_games!Team_last_game_data_1,12,FALSE)</f>
        <v>lose</v>
      </c>
      <c r="F27" s="122" t="str">
        <f>VLOOKUP(Data!$D$69,Last_games!Team_last_game_data_1,13,FALSE)</f>
        <v>KT Rolster</v>
      </c>
      <c r="G27" s="122"/>
      <c r="I27" s="121" t="str">
        <f>VLOOKUP(Data!$D$70,Last_games!Team_last_game_data_1,11,FALSE)</f>
        <v>Sword,Tarzan,Chovy,Viper,Lehends</v>
      </c>
      <c r="J27" s="121"/>
      <c r="K27" s="83" t="str">
        <f>VLOOKUP(Data!$D$70,Last_games!Team_last_game_data_1,12,FALSE)</f>
        <v>win</v>
      </c>
      <c r="L27" s="122" t="str">
        <f>VLOOKUP(Data!$D$70,Last_games!Team_last_game_data_1,13,FALSE)</f>
        <v>Kingzone DragonX</v>
      </c>
      <c r="M27" s="122"/>
    </row>
    <row r="28" spans="1:13">
      <c r="A28" s="21"/>
      <c r="C28" s="121" t="str">
        <f>VLOOKUP(Data!$D$69,Last_games!Team_last_game_data_1,8,FALSE)</f>
        <v>CuVee,Ambition,Fly,Ruler,CoreJJ</v>
      </c>
      <c r="D28" s="121"/>
      <c r="E28" s="83" t="str">
        <f>VLOOKUP(Data!$D$69,Last_games!Team_last_game_data_1,9,FALSE)</f>
        <v>win</v>
      </c>
      <c r="F28" s="122" t="str">
        <f>VLOOKUP(Data!$D$69,Last_games!Team_last_game_data_1,10,FALSE)</f>
        <v>Afreeca Freecs</v>
      </c>
      <c r="G28" s="122"/>
      <c r="I28" s="121" t="str">
        <f>VLOOKUP(Data!$D$70,Last_games!Team_last_game_data_1,8,FALSE)</f>
        <v>Sword,Tarzan,Chovy,Viper,Lehends</v>
      </c>
      <c r="J28" s="121"/>
      <c r="K28" s="83" t="str">
        <f>VLOOKUP(Data!$D$70,Last_games!Team_last_game_data_1,9,FALSE)</f>
        <v>lose</v>
      </c>
      <c r="L28" s="122" t="str">
        <f>VLOOKUP(Data!$D$70,Last_games!Team_last_game_data_1,10,FALSE)</f>
        <v>KT Rolster</v>
      </c>
      <c r="M28" s="122"/>
    </row>
    <row r="29" spans="1:13">
      <c r="A29" s="21"/>
      <c r="C29" s="121" t="str">
        <f>VLOOKUP(Data!$D$69,Last_games!Team_last_game_data_1,5,FALSE)</f>
        <v>CuVee,Ambition,Fly,Ruler,CoreJJ</v>
      </c>
      <c r="D29" s="121"/>
      <c r="E29" s="83" t="str">
        <f>VLOOKUP(Data!$D$69,Last_games!Team_last_game_data_1,6,FALSE)</f>
        <v>win</v>
      </c>
      <c r="F29" s="122" t="str">
        <f>VLOOKUP(Data!$D$69,Last_games!Team_last_game_data_1,7,FALSE)</f>
        <v>Afreeca Freecs</v>
      </c>
      <c r="G29" s="122"/>
      <c r="I29" s="121" t="str">
        <f>VLOOKUP(Data!$D$70,Last_games!Team_last_game_data_1,5,FALSE)</f>
        <v>Sword,Tarzan,Chovy,Viper,Lehends</v>
      </c>
      <c r="J29" s="121"/>
      <c r="K29" s="83" t="str">
        <f>VLOOKUP(Data!$D$70,Last_games!Team_last_game_data_1,6,FALSE)</f>
        <v>win</v>
      </c>
      <c r="L29" s="122" t="str">
        <f>VLOOKUP(Data!$D$70,Last_games!Team_last_game_data_1,7,FALSE)</f>
        <v>KT Rolster</v>
      </c>
      <c r="M29" s="122"/>
    </row>
    <row r="30" spans="1:13">
      <c r="A30" s="21"/>
      <c r="C30" s="121" t="str">
        <f>VLOOKUP(Data!$D$69,Last_games!Team_last_game_data_1,2,FALSE)</f>
        <v>CuVee,Ambition,Fly,Ruler,CoreJJ</v>
      </c>
      <c r="D30" s="121"/>
      <c r="E30" s="83" t="str">
        <f>VLOOKUP(Data!$D$69,Last_games!Team_last_game_data_1,3,FALSE)</f>
        <v>lose</v>
      </c>
      <c r="F30" s="122" t="str">
        <f>VLOOKUP(Data!$D$69,Last_games!Team_last_game_data_1,4,FALSE)</f>
        <v>Afreeca Freecs</v>
      </c>
      <c r="G30" s="122"/>
      <c r="I30" s="121" t="str">
        <f>VLOOKUP(Data!$D$70,Last_games!Team_last_game_data_1,2,FALSE)</f>
        <v>Sword,Tarzan,Chovy,Viper,Lehends</v>
      </c>
      <c r="J30" s="121"/>
      <c r="K30" s="83" t="str">
        <f>VLOOKUP(Data!$D$70,Last_games!Team_last_game_data_1,3,FALSE)</f>
        <v>lose</v>
      </c>
      <c r="L30" s="122" t="str">
        <f>VLOOKUP(Data!$D$70,Last_games!Team_last_game_data_1,4,FALSE)</f>
        <v>KT Rolster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382</v>
      </c>
      <c r="E2" s="94" t="s">
        <v>383</v>
      </c>
      <c r="F2" s="94" t="s">
        <v>384</v>
      </c>
      <c r="G2" s="94" t="s">
        <v>371</v>
      </c>
      <c r="H2" s="95" t="s">
        <v>385</v>
      </c>
      <c r="I2" s="92" t="s">
        <v>291</v>
      </c>
      <c r="J2" s="94" t="s">
        <v>382</v>
      </c>
      <c r="K2" s="94" t="s">
        <v>383</v>
      </c>
      <c r="L2" s="94" t="s">
        <v>384</v>
      </c>
      <c r="M2" s="94" t="s">
        <v>371</v>
      </c>
      <c r="N2" s="95" t="s">
        <v>385</v>
      </c>
      <c r="O2" s="92" t="s">
        <v>316</v>
      </c>
      <c r="P2" s="94" t="s">
        <v>382</v>
      </c>
      <c r="Q2" s="94" t="s">
        <v>383</v>
      </c>
      <c r="R2" s="94" t="s">
        <v>384</v>
      </c>
      <c r="S2" s="94" t="s">
        <v>371</v>
      </c>
      <c r="T2" s="95" t="s">
        <v>385</v>
      </c>
      <c r="U2" s="92" t="s">
        <v>317</v>
      </c>
      <c r="V2" s="94" t="s">
        <v>382</v>
      </c>
      <c r="W2" s="94" t="s">
        <v>383</v>
      </c>
      <c r="X2" s="94" t="s">
        <v>384</v>
      </c>
      <c r="Y2" s="94" t="s">
        <v>371</v>
      </c>
      <c r="Z2" s="95" t="s">
        <v>385</v>
      </c>
      <c r="AA2" s="92" t="s">
        <v>295</v>
      </c>
      <c r="AB2" s="94" t="s">
        <v>382</v>
      </c>
      <c r="AC2" s="94" t="s">
        <v>383</v>
      </c>
      <c r="AD2" s="94" t="s">
        <v>384</v>
      </c>
      <c r="AE2" s="94" t="s">
        <v>371</v>
      </c>
      <c r="AF2" s="95" t="s">
        <v>385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387</v>
      </c>
      <c r="AH15" s="100" t="e">
        <f>AVERAGE(AH3:AH12)</f>
        <v>#DIV/0!</v>
      </c>
    </row>
    <row r="16" spans="1:34">
      <c r="AG16" s="100" t="s">
        <v>386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370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369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2018-07-26T11:17:52Z</dcterms:modified>
</cp:coreProperties>
</file>