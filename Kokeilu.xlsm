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bookViews>
    <workbookView xWindow="13040" yWindow="440" windowWidth="15760" windowHeight="17560" tabRatio="500" firstSheet="1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Data!$A$1:$Q$54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Last_games!$A$1:$P$54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02" i="2" l="1"/>
  <c r="H3" i="1"/>
  <c r="E102" i="2"/>
  <c r="G3" i="1"/>
  <c r="D69" i="2"/>
  <c r="L6" i="1"/>
  <c r="L7" i="1"/>
  <c r="L8" i="1"/>
  <c r="L9" i="1"/>
  <c r="L10" i="1"/>
  <c r="L12" i="1"/>
  <c r="D82" i="2"/>
  <c r="D68" i="2"/>
  <c r="D6" i="1"/>
  <c r="D7" i="1"/>
  <c r="D8" i="1"/>
  <c r="D9" i="1"/>
  <c r="D10" i="1"/>
  <c r="D12" i="1"/>
  <c r="D80" i="2"/>
  <c r="D78" i="2"/>
  <c r="D81" i="2"/>
  <c r="D79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5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4" i="2"/>
  <c r="F94" i="2"/>
  <c r="I28" i="1"/>
  <c r="M10" i="1"/>
  <c r="M6" i="1"/>
  <c r="K9" i="1"/>
  <c r="K30" i="1"/>
  <c r="D97" i="2"/>
  <c r="F97" i="2"/>
  <c r="K26" i="1"/>
  <c r="D93" i="2"/>
  <c r="F93" i="2"/>
  <c r="I27" i="1"/>
  <c r="K8" i="1"/>
  <c r="L28" i="1"/>
  <c r="K29" i="1"/>
  <c r="I30" i="1"/>
  <c r="I26" i="1"/>
  <c r="E19" i="1"/>
  <c r="M8" i="1"/>
  <c r="K7" i="1"/>
  <c r="K28" i="1"/>
  <c r="D95" i="2"/>
  <c r="F95" i="2"/>
  <c r="K10" i="1"/>
  <c r="L29" i="1"/>
  <c r="M9" i="1"/>
  <c r="L27" i="1"/>
  <c r="I29" i="1"/>
  <c r="M7" i="1"/>
  <c r="K6" i="1"/>
  <c r="F29" i="1"/>
  <c r="E30" i="1"/>
  <c r="C97" i="2"/>
  <c r="E97" i="2"/>
  <c r="E26" i="1"/>
  <c r="C93" i="2"/>
  <c r="E93" i="2"/>
  <c r="C27" i="1"/>
  <c r="E7" i="1"/>
  <c r="C7" i="1"/>
  <c r="E29" i="1"/>
  <c r="C96" i="2"/>
  <c r="E96" i="2"/>
  <c r="C30" i="1"/>
  <c r="C26" i="1"/>
  <c r="E10" i="1"/>
  <c r="C10" i="1"/>
  <c r="C6" i="1"/>
  <c r="E28" i="1"/>
  <c r="C95" i="2"/>
  <c r="E95" i="2"/>
  <c r="C29" i="1"/>
  <c r="C9" i="1"/>
  <c r="F30" i="1"/>
  <c r="E27" i="1"/>
  <c r="C94" i="2"/>
  <c r="E94" i="2"/>
  <c r="D19" i="1"/>
  <c r="E8" i="1"/>
  <c r="F28" i="1"/>
  <c r="E6" i="1"/>
  <c r="F27" i="1"/>
  <c r="E9" i="1"/>
  <c r="F26" i="1"/>
  <c r="C28" i="1"/>
  <c r="C8" i="1"/>
  <c r="D96" i="2"/>
  <c r="F96" i="2"/>
  <c r="I24" i="1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5" i="2"/>
  <c r="D86" i="2"/>
  <c r="E20" i="1"/>
  <c r="D88" i="2"/>
  <c r="E21" i="1"/>
  <c r="G21" i="1"/>
  <c r="D20" i="1"/>
  <c r="D89" i="2"/>
  <c r="J86" i="2"/>
  <c r="J17" i="1"/>
  <c r="K17" i="1"/>
  <c r="J84" i="2"/>
  <c r="J83" i="2"/>
  <c r="D21" i="1"/>
  <c r="F21" i="1"/>
  <c r="F20" i="1"/>
  <c r="D22" i="1"/>
  <c r="F22" i="1"/>
  <c r="G20" i="1"/>
  <c r="E22" i="1"/>
  <c r="G22" i="1"/>
  <c r="D17" i="1"/>
  <c r="E17" i="1"/>
  <c r="J80" i="2"/>
  <c r="J81" i="2"/>
  <c r="J15" i="1"/>
  <c r="K15" i="1"/>
  <c r="D15" i="1"/>
  <c r="E15" i="1"/>
  <c r="J21" i="1"/>
  <c r="K21" i="1"/>
  <c r="J85" i="2"/>
  <c r="J16" i="1"/>
  <c r="K16" i="1"/>
  <c r="J87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<sst xmlns="http://schemas.openxmlformats.org/spreadsheetml/2006/main" count="1885" uniqueCount="532">
  <si>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</si>
  <si>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</si>
  <si>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</si>
  <si>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</si>
  <si>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</si>
  <si>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</si>
  <si>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</si>
  <si>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</si>
  <si>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</si>
  <si>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</si>
  <si>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</si>
  <si>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</si>
  <si>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</si>
  <si>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</si>
  <si>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</si>
  <si>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</si>
  <si>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</si>
  <si>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</si>
  <si>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</si>
  <si>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</si>
  <si>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</si>
  <si>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</si>
  <si>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</si>
  <si>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</si>
  <si>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</si>
  <si>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</si>
  <si>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</si>
  <si>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</si>
  <si>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</si>
  <si>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</si>
  <si>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</si>
  <si>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</si>
  <si>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</si>
  <si>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</si>
  <si>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</si>
  <si>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</si>
  <si>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</si>
  <si>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</si>
  <si>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</si>
  <si>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</si>
  <si>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</si>
  <si>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</si>
  <si>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</si>
  <si>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</si>
  <si>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</si>
  <si>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</si>
  <si>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</si>
  <si>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</si>
  <si>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</si>
  <si>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</si>
  <si>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</si>
  <si>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</si>
  <si>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</si>
  <si>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</si>
  <si>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</si>
  <si>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</si>
  <si>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</si>
  <si>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</si>
  <si>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</si>
  <si>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</si>
  <si>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</si>
  <si>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</si>
  <si>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</si>
  <si>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</si>
  <si>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</si>
  <si>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</si>
  <si>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</si>
  <si>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</si>
  <si>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</si>
  <si>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</si>
  <si>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</si>
  <si>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</si>
  <si>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</si>
  <si>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</si>
  <si>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</si>
  <si>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</si>
  <si>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</si>
  <si>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</si>
  <si>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</si>
  <si>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</si>
  <si>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</si>
  <si>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</si>
  <si>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</si>
  <si>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</si>
  <si>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</si>
  <si>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</si>
  <si>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</si>
  <si>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</si>
  <si>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</si>
  <si>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</si>
  <si>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</si>
  <si>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</si>
  <si>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</si>
  <si>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</si>
  <si>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</si>
  <si>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</si>
  <si>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</si>
  <si>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</si>
  <si>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</si>
  <si>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</si>
  <si>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</si>
  <si>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</si>
  <si>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</si>
  <si>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</si>
  <si>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</si>
  <si>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</si>
  <si>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</si>
  <si>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</si>
  <si>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</si>
  <si>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</si>
  <si>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</si>
  <si>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</si>
  <si>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</si>
  <si>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</si>
  <si>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</si>
  <si>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</si>
  <si>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</si>
  <si>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</si>
  <si>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</si>
  <si>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</si>
  <si>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</si>
  <si>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</si>
  <si>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</si>
  <si>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</si>
  <si>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</si>
  <si>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</si>
  <si>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</si>
  <si>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</si>
  <si>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</si>
  <si>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</si>
  <si>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</si>
  <si>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</si>
  <si>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</si>
  <si>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</si>
  <si>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</si>
  <si>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</si>
  <si>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</si>
  <si>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</si>
  <si>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</si>
  <si>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</si>
  <si>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</si>
  <si>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</si>
  <si>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</si>
  <si>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</si>
  <si>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</si>
  <si>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</si>
  <si>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</si>
  <si>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</si>
  <si>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</si>
  <si>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</si>
  <si>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</si>
  <si>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</si>
  <si>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</si>
  <si>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</si>
  <si>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</si>
  <si>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</si>
  <si>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</si>
  <si>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</si>
  <si>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</si>
  <si>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</si>
  <si>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</si>
  <si>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</si>
  <si>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</si>
  <si>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</si>
  <si>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</si>
  <si>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</si>
  <si>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</si>
  <si>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</si>
  <si>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</si>
  <si>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</si>
  <si>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</si>
  <si>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</si>
  <si>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</si>
  <si>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</si>
  <si>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</si>
  <si>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</si>
  <si>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</si>
  <si>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</si>
  <si>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</si>
  <si>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</si>
  <si>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</si>
  <si>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</si>
  <si>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</si>
  <si>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</si>
  <si>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</si>
  <si>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</si>
  <si>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</si>
  <si>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</si>
  <si>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</si>
  <si>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</si>
  <si>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</si>
  <si>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</si>
  <si>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</si>
  <si>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</si>
  <si>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</si>
  <si>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</si>
  <si>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</si>
  <si>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</si>
  <si>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</si>
  <si>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</si>
  <si>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</si>
  <si>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</si>
  <si>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</si>
  <si>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</si>
  <si>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</si>
  <si>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</si>
  <si>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</si>
  <si>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</si>
  <si>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</si>
  <si>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</si>
  <si>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</si>
  <si>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</si>
  <si>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</si>
  <si>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</si>
  <si>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</si>
  <si>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</si>
  <si>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</si>
  <si>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</si>
  <si>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</si>
  <si>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</si>
  <si>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</si>
  <si>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</si>
  <si>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</si>
  <si>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</si>
  <si>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</si>
  <si>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</si>
  <si>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</si>
  <si>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</si>
  <si>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</si>
  <si>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</si>
  <si>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</si>
  <si>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</si>
  <si>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</si>
  <si>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</si>
  <si>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</si>
  <si>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</si>
  <si>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</si>
  <si>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</si>
  <si>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</si>
  <si>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</si>
  <si>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</si>
  <si>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</si>
  <si>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</si>
  <si>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</si>
  <si>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</si>
  <si>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</si>
  <si>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</si>
  <si>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</si>
  <si>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</si>
  <si>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</si>
  <si>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</si>
  <si>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</si>
  <si>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</si>
  <si>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</si>
  <si>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</si>
  <si>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</si>
  <si>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</si>
  <si>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</si>
  <si>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</si>
  <si>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</si>
  <si>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</si>
  <si>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</si>
  <si>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</si>
  <si>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</si>
  <si>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</si>
  <si>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</si>
  <si>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</si>
  <si>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</si>
  <si>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</si>
  <si>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</si>
  <si>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</si>
  <si>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</si>
  <si>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</si>
  <si>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</si>
  <si>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</si>
  <si>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</si>
  <si>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</si>
  <si>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</si>
  <si>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</si>
  <si>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</si>
  <si>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</si>
  <si>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</si>
  <si>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</si>
  <si>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</si>
  <si>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</si>
  <si>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</si>
  <si>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</si>
  <si>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</si>
  <si>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</si>
  <si>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</si>
  <si>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</si>
  <si>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</si>
  <si>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</si>
  <si>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</si>
  <si>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</si>
  <si>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</si>
  <si>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</si>
  <si>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</si>
  <si>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</si>
  <si>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</si>
  <si>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</si>
  <si>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</si>
  <si>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</si>
  <si>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</si>
  <si>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</si>
  <si>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</si>
  <si>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</si>
  <si>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</si>
  <si>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</si>
  <si>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</si>
  <si>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</si>
  <si>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</si>
  <si>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</si>
  <si>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</si>
  <si>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</si>
  <si>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</si>
  <si>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</si>
  <si>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</si>
  <si>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</si>
  <si>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</si>
  <si>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</si>
  <si>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</si>
  <si>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</si>
  <si>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</si>
  <si>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</si>
  <si>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</si>
  <si>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</si>
  <si>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</si>
  <si>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</si>
  <si>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</si>
  <si>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</si>
  <si>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</si>
  <si>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</si>
  <si>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</si>
  <si>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</si>
  <si>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</si>
  <si>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</si>
  <si>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</si>
  <si>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</si>
  <si>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</si>
  <si>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</si>
  <si>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</si>
  <si>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</si>
  <si>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</si>
  <si>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</si>
  <si>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</si>
  <si>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SoHwan,UmTi,Grace,Teddy,Wraith</t>
  </si>
  <si>
    <t>lose</t>
  </si>
  <si>
    <t>ROCCAT</t>
  </si>
  <si>
    <t>Vitality</t>
  </si>
  <si>
    <t>Giants</t>
  </si>
  <si>
    <t>Ruin,Djoko,Betsy,Steeelback,Targamas</t>
  </si>
  <si>
    <t>Cabochard,Gilius,Jiizuke,Minitroupax,Jacktroll</t>
  </si>
  <si>
    <t>Lindarang,Seonghwan,Lava,Sangyoon,Key</t>
  </si>
  <si>
    <t>ssumday,Meteos,Ryu,Cody Sun,Aphromoo</t>
  </si>
  <si>
    <t>Darshan,Reignover,Huhi,Stixxay,Biofrost</t>
  </si>
  <si>
    <t>Kiin,Spirit,kurO,Kramer,TusiN</t>
  </si>
  <si>
    <t>KSV Esports</t>
  </si>
  <si>
    <t>Flandre,SofM,Guoguo,kRYST4L,Hudie</t>
  </si>
  <si>
    <t>Profit,Memento,Blanc,HeaQ,Norskeren</t>
  </si>
  <si>
    <t>Hauntzer,MikeYeung,Bjergsen,Zven,Mithy</t>
  </si>
  <si>
    <t>Odoamne,Xerxe,Nisqy,Kobbe,KaSing</t>
  </si>
  <si>
    <t>Khan,Peanut,Bdd,PraY,GorillA</t>
  </si>
  <si>
    <t>Licorice,Svenskeren,Jensen,Sneaky,Smoothie</t>
  </si>
  <si>
    <t>Alphari,Maxlore,Sencux,Hans sama,Mikyx</t>
  </si>
  <si>
    <t>Zig,Akaadian,PowerOfEvil,Arrow,LemonNation</t>
  </si>
  <si>
    <t>Ray,Haro,Scout,iBOY,Meiko</t>
  </si>
  <si>
    <t>Zoom,Clid,Yagao,LokeN,LvMao</t>
  </si>
  <si>
    <t>Roach,Raise,Edge,SSol,Secret</t>
  </si>
  <si>
    <t>Mouse,Flawless,Doinb,SmLz,Killua</t>
  </si>
  <si>
    <t>Huni,Dardoch,FeniX,Altec,Adrian</t>
  </si>
  <si>
    <t>Whiteknight,Kold,Exileh,Samux,Totoro</t>
  </si>
  <si>
    <t>CuVee,Ambition,Crown,Ruler,CoreJJ</t>
  </si>
  <si>
    <t>Wunder,Jankos,Perkz,Hjarnan,Wadid</t>
  </si>
  <si>
    <t>Impact,Xmithie,Pobelter,Doublelift,Olleh</t>
  </si>
  <si>
    <t>Solo,Lira,Febiven,Apollo,Hakuho</t>
  </si>
  <si>
    <t>Lourlo,Contractz,Hai,Deftly,Matt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</si>
  <si>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</si>
  <si>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</si>
  <si>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</si>
  <si>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</si>
  <si>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</si>
  <si>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</si>
  <si>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</si>
  <si>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</si>
  <si>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</si>
  <si>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</si>
  <si>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</si>
  <si>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</si>
  <si>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</si>
  <si>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</si>
  <si>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</si>
  <si>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</si>
  <si>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</si>
  <si>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ADD,Beyond,Ian,Pilot,Max KR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</si>
  <si>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</si>
  <si>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</si>
  <si>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</si>
  <si>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</si>
  <si>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</si>
  <si>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</si>
  <si>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</si>
  <si>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</si>
  <si>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</si>
  <si>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</si>
  <si>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</si>
  <si>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Vizicsacsi,Pride,Nukeduck,UpseT,VandeR</t>
  </si>
  <si>
    <t>XiaoAL,H4cker,Knight,Fury,Yoon</t>
  </si>
  <si>
    <t>Mlxg</t>
  </si>
  <si>
    <t>Condi</t>
  </si>
  <si>
    <t>Haru</t>
  </si>
  <si>
    <t>H4cker</t>
  </si>
  <si>
    <t>Loong</t>
  </si>
  <si>
    <t>Pride</t>
  </si>
  <si>
    <t>Blossom</t>
  </si>
  <si>
    <t>Flame,AnDa,Fly,WildTurtle,Stunt</t>
  </si>
  <si>
    <t>Shook</t>
  </si>
  <si>
    <t>Marin</t>
  </si>
  <si>
    <t>Corn</t>
  </si>
  <si>
    <t>SmittyJ,Shook,Selfie,Sheriff,Promisq</t>
  </si>
  <si>
    <t>Selfie</t>
  </si>
  <si>
    <t>1907 Fenerbahce</t>
  </si>
  <si>
    <t>Thaldrin</t>
  </si>
  <si>
    <t>Chaser</t>
  </si>
  <si>
    <t>Frozen</t>
  </si>
  <si>
    <t>padden</t>
  </si>
  <si>
    <t>Zergsting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</si>
  <si>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</si>
  <si>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</si>
  <si>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</si>
  <si>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</si>
  <si>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</si>
  <si>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</si>
  <si>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</si>
  <si>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</si>
  <si>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</si>
  <si>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</si>
  <si>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</si>
  <si>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</si>
  <si>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</si>
  <si>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</si>
  <si>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</si>
  <si>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</si>
  <si>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</si>
  <si>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</si>
  <si>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</si>
  <si>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</si>
  <si>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</si>
  <si>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</si>
  <si>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</si>
  <si>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</si>
  <si>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</si>
  <si>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</si>
  <si>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</si>
  <si>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</si>
  <si>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</si>
  <si>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</si>
  <si>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</si>
  <si>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</si>
  <si>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</si>
  <si>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</si>
  <si>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</si>
  <si>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</si>
  <si>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</si>
  <si>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</si>
  <si>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Broken Blade,Malrang,Cepted,Holyphoenix,Dumbledoge</t>
  </si>
  <si>
    <t>Thaldrin,Chaser,Frozen,Padden,Zergsting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</si>
  <si>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</si>
  <si>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</si>
  <si>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</si>
  <si>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</si>
  <si>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</si>
  <si>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</si>
  <si>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</si>
  <si>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Panky,Wisdom,Naru,Rain,Rogu</t>
  </si>
  <si>
    <t>Crazy,Trick,Tempt,Ghost,IgNar</t>
  </si>
  <si>
    <t>Smeb,Rush,Ucal,Deft,Mata</t>
  </si>
  <si>
    <t>Smeb,Score,Ucal,Deft,Mata</t>
  </si>
  <si>
    <t>AmazingJ,Chieftain,Mole,jinjiao,Road</t>
  </si>
  <si>
    <t>Rare,Chosenn,MGX,J1mmy,Ozgur</t>
  </si>
  <si>
    <t>J1mmy,Chosenn,Fiseyin,Rare,Ozgur</t>
  </si>
  <si>
    <t>Jinoo,Yotu,Yuuki,Fdy,Pyl</t>
  </si>
  <si>
    <t>Armut,Trix,Xico,Achuu,Revanche</t>
  </si>
  <si>
    <t>Meow,Swift,Easyhoon,Snow,Caveman</t>
  </si>
  <si>
    <t>Meow,Swift,FireRain,Snow,Caveman</t>
  </si>
  <si>
    <t>Gimgoon,Pepper,Cool,Lwx,Crisp</t>
  </si>
  <si>
    <t>Kiin,Mowgli,kurO,Kramer,TusiN</t>
  </si>
  <si>
    <t>Marin,Karin,Corn,Qiuqiu,Fage</t>
  </si>
  <si>
    <t>Lies,Karin,Ggoong,Qiuqiu,Fage</t>
  </si>
  <si>
    <t>Dhokla,Akaadian,PowerOfEvil,Arrow,LemonNation</t>
  </si>
  <si>
    <t>957,Magic,xiye,Mystic,Celestial</t>
  </si>
  <si>
    <t>Thal,blank,Faker,Bang,Wolf</t>
  </si>
  <si>
    <t>Elwind,Mojito,Coco,Madness,Zzus</t>
  </si>
  <si>
    <t>Marshall,Kakao,TRY,Ruvelius,Japone</t>
  </si>
  <si>
    <t>Xiyang,Jiekou,icon,Chelly,Five</t>
  </si>
  <si>
    <t>Bwipo,Broxah,Caps,Rekkles,Hylissang</t>
  </si>
  <si>
    <t>Duke,Ning,Rookie,JackeyLove,Baolan</t>
  </si>
  <si>
    <t>LetMe,Mlxg,xiaohu,Uzi,Ming</t>
  </si>
  <si>
    <t>Ray,Clearlove,Scout,iBOY,Meiko</t>
  </si>
  <si>
    <t>Roach,U Jun,Edge,SSol,Secret</t>
  </si>
  <si>
    <t>Pentagram</t>
  </si>
  <si>
    <t>EVOS Esports</t>
  </si>
  <si>
    <t>Uzi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</si>
  <si>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</si>
  <si>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</si>
  <si>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</si>
  <si>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</si>
  <si>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</si>
  <si>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</si>
  <si>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</si>
  <si>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</si>
  <si>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</si>
  <si>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</si>
  <si>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</si>
  <si>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</si>
  <si>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</si>
  <si>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</si>
  <si>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</si>
  <si>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</si>
  <si>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</si>
  <si>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</si>
  <si>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</si>
  <si>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</si>
  <si>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</si>
  <si>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</si>
  <si>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</si>
  <si>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</si>
  <si>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</si>
  <si>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Gambit</t>
  </si>
  <si>
    <t>Hanabi,MooJin,Maple,Betty,SwordArt</t>
  </si>
  <si>
    <t>Bwipo</t>
  </si>
  <si>
    <t>Impact,Xmithie,Pobelter,Doublelift,Joey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</si>
</sst>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8:$C$68" fmlaRange="Data!$A$1:$A$54" sel="46" val="0"/>
</file>

<file path=xl/ctrlProps/ctrlProp3.xml><?xml version="1.0" encoding="utf-8"?>
<formControlPr xmlns="http://schemas.microsoft.com/office/spreadsheetml/2009/9/main" objectType="Drop" dropLines="52" dropStyle="combo" dx="16" fmlaLink="Data!$C$69:$C$69" fmlaRange="Data!$A$1:$A$54" sel="28" val="0"/>
</file>

<file path=xl/ctrlProps/ctrlProp4.xml><?xml version="1.0" encoding="utf-8"?>
<formControlPr xmlns="http://schemas.microsoft.com/office/spreadsheetml/2009/9/main" objectType="Drop" dropLines="52" dropStyle="combo" dx="16" fmlaLink="Data!$D$74" fmlaRange="Data!$C$74:$C$76" sel="1" val="0"/>
</file>

<file path=xl/ctrlProps/ctrlProp5.xml><?xml version="1.0" encoding="utf-8"?>
<formControlPr xmlns="http://schemas.microsoft.com/office/spreadsheetml/2009/9/main" objectType="Scroll" dx="16" fmlaLink="Data!$E$78" horiz="1" inc="5" max="100" page="5" val="68"/>
</file>

<file path=xl/ctrlProps/ctrlProp6.xml><?xml version="1.0" encoding="utf-8"?>
<formControlPr xmlns="http://schemas.microsoft.com/office/spreadsheetml/2009/9/main" objectType="Drop" dropLines="52" dropStyle="combo" dx="16" fmlaLink="Data!$E$101" fmlaRange="Data!$C$101:$C$108" sel="3" val="0"/>
</file>

<file path=xl/ctrlProps/ctrlProp7.xml><?xml version="1.0" encoding="utf-8"?>
<formControlPr xmlns="http://schemas.microsoft.com/office/spreadsheetml/2009/9/main" objectType="Drop" dropLines="52" dropStyle="combo" dx="16" fmlaLink="Data!$F$101" fmlaRange="Data!$C$101:$C$108" sel="1" val="0"/>
</file>

<file path=xl/ctrlProps/ctrlProp8.xml><?xml version="1.0" encoding="utf-8"?>
<formControlPr xmlns="http://schemas.microsoft.com/office/spreadsheetml/2009/9/main" objectType="Drop" dropLines="52" dropStyle="combo" dx="16" fmlaLink="Data!$D$110" fmlaRange="Data!$C$110:$C$11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A879-FCAF-ED4C-BC18-5027B623003F}">
  <dimension ref="A1:P54"/>
  <sheetViews>
    <sheetView workbookViewId="0"/>
  </sheetViews>
  <sheetFormatPr baseColWidth="10" defaultColWidth="11" defaultRowHeight="16"/>
  <cols>
    <col min="1" max="1" width="18.1640625" bestFit="1" customWidth="1"/>
    <col min="2" max="2" width="47.83203125" bestFit="1" customWidth="1"/>
    <col min="3" max="3" width="4.5" bestFit="1" customWidth="1"/>
    <col min="4" max="4" width="18.1640625" bestFit="1" customWidth="1"/>
    <col min="5" max="5" width="47.83203125" bestFit="1" customWidth="1"/>
    <col min="6" max="6" width="4.5" bestFit="1" customWidth="1"/>
    <col min="7" max="7" width="18.1640625" bestFit="1" customWidth="1"/>
    <col min="8" max="8" width="47.83203125" bestFit="1" customWidth="1"/>
    <col min="9" max="9" width="4.5" bestFit="1" customWidth="1"/>
    <col min="10" max="10" width="18.1640625" bestFit="1" customWidth="1"/>
    <col min="11" max="11" width="47.83203125" bestFit="1" customWidth="1"/>
    <col min="12" max="12" width="4.5" bestFit="1" customWidth="1"/>
    <col min="13" max="13" width="18.1640625" bestFit="1" customWidth="1"/>
    <col min="14" max="14" width="47.83203125" bestFit="1" customWidth="1"/>
    <col min="15" max="15" width="4.5" bestFit="1" customWidth="1"/>
    <col min="16" max="16" width="18.1640625" bestFit="1" customWidth="1"/>
  </cols>
  <sheetData>
    <row r="1" spans="1:16">
      <c r="A1" t="s">
        <v>2</v>
      </c>
      <c r="B1" t="s">
        <v>346</v>
      </c>
      <c r="C1" t="s">
        <v>347</v>
      </c>
      <c r="D1" t="s">
        <v>127</v>
      </c>
      <c r="E1" t="s">
        <v>346</v>
      </c>
      <c r="F1" t="s">
        <v>347</v>
      </c>
      <c r="G1" t="s">
        <v>127</v>
      </c>
      <c r="H1" t="s">
        <v>346</v>
      </c>
      <c r="I1" t="s">
        <v>347</v>
      </c>
      <c r="J1" t="s">
        <v>276</v>
      </c>
      <c r="K1" t="s">
        <v>346</v>
      </c>
      <c r="L1" t="s">
        <v>345</v>
      </c>
      <c r="M1" t="s">
        <v>276</v>
      </c>
      <c r="N1" t="s">
        <v>346</v>
      </c>
      <c r="O1" t="s">
        <v>345</v>
      </c>
      <c r="P1" t="s">
        <v>276</v>
      </c>
    </row>
    <row r="2" spans="1:16">
      <c r="A2" t="s">
        <v>8</v>
      </c>
      <c r="B2" t="s">
        <v>475</v>
      </c>
      <c r="C2" t="s">
        <v>347</v>
      </c>
      <c r="D2" t="s">
        <v>27</v>
      </c>
      <c r="E2" t="s">
        <v>475</v>
      </c>
      <c r="F2" t="s">
        <v>347</v>
      </c>
      <c r="G2" t="s">
        <v>95</v>
      </c>
      <c r="H2" t="s">
        <v>475</v>
      </c>
      <c r="I2" t="s">
        <v>347</v>
      </c>
      <c r="J2" t="s">
        <v>95</v>
      </c>
      <c r="K2" t="s">
        <v>475</v>
      </c>
      <c r="L2" t="s">
        <v>345</v>
      </c>
      <c r="M2" t="s">
        <v>174</v>
      </c>
      <c r="N2" t="s">
        <v>475</v>
      </c>
      <c r="O2" t="s">
        <v>345</v>
      </c>
      <c r="P2" t="s">
        <v>174</v>
      </c>
    </row>
    <row r="3" spans="1:16">
      <c r="A3" t="s">
        <v>15</v>
      </c>
      <c r="B3" t="s">
        <v>497</v>
      </c>
      <c r="C3" t="s">
        <v>345</v>
      </c>
      <c r="D3" t="s">
        <v>198</v>
      </c>
      <c r="E3" t="s">
        <v>497</v>
      </c>
      <c r="F3" t="s">
        <v>347</v>
      </c>
      <c r="G3" t="s">
        <v>127</v>
      </c>
      <c r="H3" t="s">
        <v>497</v>
      </c>
      <c r="I3" t="s">
        <v>347</v>
      </c>
      <c r="J3" t="s">
        <v>520</v>
      </c>
      <c r="K3" t="s">
        <v>497</v>
      </c>
      <c r="L3" t="s">
        <v>345</v>
      </c>
      <c r="M3" t="s">
        <v>501</v>
      </c>
      <c r="N3" t="s">
        <v>497</v>
      </c>
      <c r="O3" t="s">
        <v>347</v>
      </c>
      <c r="P3" t="s">
        <v>185</v>
      </c>
    </row>
    <row r="4" spans="1:16">
      <c r="A4" t="s">
        <v>443</v>
      </c>
      <c r="B4" t="s">
        <v>465</v>
      </c>
      <c r="C4" t="s">
        <v>345</v>
      </c>
      <c r="D4" t="s">
        <v>459</v>
      </c>
      <c r="E4" t="s">
        <v>465</v>
      </c>
      <c r="F4" t="s">
        <v>347</v>
      </c>
      <c r="G4" t="s">
        <v>450</v>
      </c>
      <c r="H4" t="s">
        <v>465</v>
      </c>
      <c r="I4" t="s">
        <v>347</v>
      </c>
      <c r="J4" t="s">
        <v>450</v>
      </c>
      <c r="K4" t="s">
        <v>465</v>
      </c>
      <c r="L4" t="s">
        <v>345</v>
      </c>
      <c r="M4" t="s">
        <v>450</v>
      </c>
      <c r="N4" t="s">
        <v>465</v>
      </c>
      <c r="O4" t="s">
        <v>347</v>
      </c>
      <c r="P4" t="s">
        <v>450</v>
      </c>
    </row>
    <row r="5" spans="1:16">
      <c r="A5" t="s">
        <v>27</v>
      </c>
      <c r="B5" t="s">
        <v>477</v>
      </c>
      <c r="C5" t="s">
        <v>345</v>
      </c>
      <c r="D5" t="s">
        <v>181</v>
      </c>
      <c r="E5" t="s">
        <v>476</v>
      </c>
      <c r="F5" t="s">
        <v>345</v>
      </c>
      <c r="G5" t="s">
        <v>95</v>
      </c>
      <c r="H5" t="s">
        <v>476</v>
      </c>
      <c r="I5" t="s">
        <v>347</v>
      </c>
      <c r="J5" t="s">
        <v>95</v>
      </c>
      <c r="K5" t="s">
        <v>477</v>
      </c>
      <c r="L5" t="s">
        <v>347</v>
      </c>
      <c r="M5" t="s">
        <v>95</v>
      </c>
      <c r="N5" t="s">
        <v>477</v>
      </c>
      <c r="O5" t="s">
        <v>347</v>
      </c>
      <c r="P5" t="s">
        <v>95</v>
      </c>
    </row>
    <row r="6" spans="1:16">
      <c r="A6" t="s">
        <v>34</v>
      </c>
      <c r="B6" t="s">
        <v>406</v>
      </c>
      <c r="C6" t="s">
        <v>347</v>
      </c>
      <c r="D6" t="s">
        <v>211</v>
      </c>
      <c r="E6" t="s">
        <v>406</v>
      </c>
      <c r="F6" t="s">
        <v>345</v>
      </c>
      <c r="G6" t="s">
        <v>350</v>
      </c>
      <c r="H6" t="s">
        <v>406</v>
      </c>
      <c r="I6" t="s">
        <v>345</v>
      </c>
      <c r="J6" t="s">
        <v>222</v>
      </c>
      <c r="K6" t="s">
        <v>406</v>
      </c>
      <c r="L6" t="s">
        <v>347</v>
      </c>
      <c r="M6" t="s">
        <v>60</v>
      </c>
      <c r="N6" t="s">
        <v>406</v>
      </c>
      <c r="O6" t="s">
        <v>347</v>
      </c>
      <c r="P6" t="s">
        <v>198</v>
      </c>
    </row>
    <row r="7" spans="1:16">
      <c r="A7" t="s">
        <v>41</v>
      </c>
      <c r="B7" t="s">
        <v>478</v>
      </c>
      <c r="C7" t="s">
        <v>347</v>
      </c>
      <c r="D7" t="s">
        <v>192</v>
      </c>
      <c r="E7" t="s">
        <v>478</v>
      </c>
      <c r="F7" t="s">
        <v>347</v>
      </c>
      <c r="G7" t="s">
        <v>192</v>
      </c>
      <c r="H7" t="s">
        <v>478</v>
      </c>
      <c r="I7" t="s">
        <v>345</v>
      </c>
      <c r="J7" t="s">
        <v>192</v>
      </c>
      <c r="K7" t="s">
        <v>478</v>
      </c>
      <c r="L7" t="s">
        <v>345</v>
      </c>
      <c r="M7" t="s">
        <v>192</v>
      </c>
      <c r="N7" t="s">
        <v>478</v>
      </c>
      <c r="O7" t="s">
        <v>347</v>
      </c>
      <c r="P7" t="s">
        <v>192</v>
      </c>
    </row>
    <row r="8" spans="1:16">
      <c r="A8" t="s">
        <v>432</v>
      </c>
      <c r="B8" t="s">
        <v>479</v>
      </c>
      <c r="C8" t="s">
        <v>347</v>
      </c>
      <c r="D8" t="s">
        <v>450</v>
      </c>
      <c r="E8" t="s">
        <v>479</v>
      </c>
      <c r="F8" t="s">
        <v>347</v>
      </c>
      <c r="G8" t="s">
        <v>421</v>
      </c>
      <c r="H8" t="s">
        <v>479</v>
      </c>
      <c r="I8" t="s">
        <v>345</v>
      </c>
      <c r="J8" t="s">
        <v>427</v>
      </c>
      <c r="K8" t="s">
        <v>480</v>
      </c>
      <c r="L8" t="s">
        <v>347</v>
      </c>
      <c r="M8" t="s">
        <v>443</v>
      </c>
      <c r="N8" t="s">
        <v>479</v>
      </c>
      <c r="O8" t="s">
        <v>347</v>
      </c>
      <c r="P8" t="s">
        <v>437</v>
      </c>
    </row>
    <row r="9" spans="1:16">
      <c r="A9" t="s">
        <v>454</v>
      </c>
      <c r="B9" t="s">
        <v>474</v>
      </c>
      <c r="C9" t="s">
        <v>347</v>
      </c>
      <c r="D9" t="s">
        <v>450</v>
      </c>
      <c r="E9" t="s">
        <v>474</v>
      </c>
      <c r="F9" t="s">
        <v>347</v>
      </c>
      <c r="G9" t="s">
        <v>450</v>
      </c>
      <c r="H9" t="s">
        <v>474</v>
      </c>
      <c r="I9" t="s">
        <v>347</v>
      </c>
      <c r="J9" t="s">
        <v>459</v>
      </c>
      <c r="K9" t="s">
        <v>474</v>
      </c>
      <c r="L9" t="s">
        <v>347</v>
      </c>
      <c r="M9" t="s">
        <v>459</v>
      </c>
      <c r="N9" t="s">
        <v>474</v>
      </c>
      <c r="O9" t="s">
        <v>347</v>
      </c>
      <c r="P9" t="s">
        <v>459</v>
      </c>
    </row>
    <row r="10" spans="1:16">
      <c r="A10" t="s">
        <v>421</v>
      </c>
      <c r="B10" t="s">
        <v>466</v>
      </c>
      <c r="C10" t="s">
        <v>345</v>
      </c>
      <c r="D10" t="s">
        <v>454</v>
      </c>
      <c r="E10" t="s">
        <v>466</v>
      </c>
      <c r="F10" t="s">
        <v>347</v>
      </c>
      <c r="G10" t="s">
        <v>454</v>
      </c>
      <c r="H10" t="s">
        <v>466</v>
      </c>
      <c r="I10" t="s">
        <v>347</v>
      </c>
      <c r="J10" t="s">
        <v>454</v>
      </c>
      <c r="K10" t="s">
        <v>466</v>
      </c>
      <c r="L10" t="s">
        <v>345</v>
      </c>
      <c r="M10" t="s">
        <v>454</v>
      </c>
      <c r="N10" t="s">
        <v>466</v>
      </c>
      <c r="O10" t="s">
        <v>347</v>
      </c>
      <c r="P10" t="s">
        <v>454</v>
      </c>
    </row>
    <row r="11" spans="1:16">
      <c r="A11" t="s">
        <v>54</v>
      </c>
      <c r="B11" t="s">
        <v>481</v>
      </c>
      <c r="C11" t="s">
        <v>345</v>
      </c>
      <c r="D11" t="s">
        <v>15</v>
      </c>
      <c r="E11" t="s">
        <v>481</v>
      </c>
      <c r="F11" t="s">
        <v>347</v>
      </c>
      <c r="G11" t="s">
        <v>216</v>
      </c>
      <c r="H11" t="s">
        <v>481</v>
      </c>
      <c r="I11" t="s">
        <v>347</v>
      </c>
      <c r="J11" t="s">
        <v>216</v>
      </c>
      <c r="K11" t="s">
        <v>481</v>
      </c>
      <c r="L11" t="s">
        <v>347</v>
      </c>
      <c r="M11" t="s">
        <v>239</v>
      </c>
      <c r="N11" t="s">
        <v>481</v>
      </c>
      <c r="O11" t="s">
        <v>347</v>
      </c>
      <c r="P11" t="s">
        <v>239</v>
      </c>
    </row>
    <row r="12" spans="1:16">
      <c r="A12" t="s">
        <v>60</v>
      </c>
      <c r="B12" t="s">
        <v>419</v>
      </c>
      <c r="C12" t="s">
        <v>347</v>
      </c>
      <c r="D12" t="s">
        <v>349</v>
      </c>
      <c r="E12" t="s">
        <v>419</v>
      </c>
      <c r="F12" t="s">
        <v>345</v>
      </c>
      <c r="G12" t="s">
        <v>349</v>
      </c>
      <c r="H12" t="s">
        <v>419</v>
      </c>
      <c r="I12" t="s">
        <v>347</v>
      </c>
      <c r="J12" t="s">
        <v>349</v>
      </c>
      <c r="K12" t="s">
        <v>419</v>
      </c>
      <c r="L12" t="s">
        <v>345</v>
      </c>
      <c r="M12" t="s">
        <v>349</v>
      </c>
      <c r="N12" t="s">
        <v>419</v>
      </c>
      <c r="O12" t="s">
        <v>347</v>
      </c>
      <c r="P12" t="s">
        <v>349</v>
      </c>
    </row>
    <row r="13" spans="1:16">
      <c r="A13" t="s">
        <v>350</v>
      </c>
      <c r="B13" t="s">
        <v>351</v>
      </c>
      <c r="C13" t="s">
        <v>347</v>
      </c>
      <c r="D13" t="s">
        <v>222</v>
      </c>
      <c r="E13" t="s">
        <v>351</v>
      </c>
      <c r="F13" t="s">
        <v>347</v>
      </c>
      <c r="G13" t="s">
        <v>34</v>
      </c>
      <c r="H13" t="s">
        <v>351</v>
      </c>
      <c r="I13" t="s">
        <v>345</v>
      </c>
      <c r="J13" t="s">
        <v>140</v>
      </c>
      <c r="K13" t="s">
        <v>351</v>
      </c>
      <c r="L13" t="s">
        <v>347</v>
      </c>
      <c r="M13" t="s">
        <v>198</v>
      </c>
      <c r="N13" t="s">
        <v>351</v>
      </c>
      <c r="O13" t="s">
        <v>347</v>
      </c>
      <c r="P13" t="s">
        <v>120</v>
      </c>
    </row>
    <row r="14" spans="1:16">
      <c r="A14" t="s">
        <v>437</v>
      </c>
      <c r="B14" t="s">
        <v>482</v>
      </c>
      <c r="C14" t="s">
        <v>345</v>
      </c>
      <c r="D14" t="s">
        <v>454</v>
      </c>
      <c r="E14" t="s">
        <v>482</v>
      </c>
      <c r="F14" t="s">
        <v>347</v>
      </c>
      <c r="G14" t="s">
        <v>450</v>
      </c>
      <c r="H14" t="s">
        <v>482</v>
      </c>
      <c r="I14" t="s">
        <v>347</v>
      </c>
      <c r="J14" t="s">
        <v>421</v>
      </c>
      <c r="K14" t="s">
        <v>482</v>
      </c>
      <c r="L14" t="s">
        <v>345</v>
      </c>
      <c r="M14" t="s">
        <v>427</v>
      </c>
      <c r="N14" t="s">
        <v>482</v>
      </c>
      <c r="O14" t="s">
        <v>345</v>
      </c>
      <c r="P14" t="s">
        <v>432</v>
      </c>
    </row>
    <row r="15" spans="1:16">
      <c r="A15" t="s">
        <v>501</v>
      </c>
      <c r="B15" t="s">
        <v>527</v>
      </c>
      <c r="C15" t="s">
        <v>345</v>
      </c>
      <c r="D15" t="s">
        <v>450</v>
      </c>
      <c r="E15" t="s">
        <v>527</v>
      </c>
      <c r="F15" t="s">
        <v>345</v>
      </c>
      <c r="G15" t="s">
        <v>185</v>
      </c>
      <c r="H15" t="s">
        <v>527</v>
      </c>
      <c r="I15" t="s">
        <v>347</v>
      </c>
      <c r="J15" t="s">
        <v>520</v>
      </c>
      <c r="K15" t="s">
        <v>527</v>
      </c>
      <c r="L15" t="s">
        <v>347</v>
      </c>
      <c r="M15" t="s">
        <v>127</v>
      </c>
      <c r="N15" t="s">
        <v>527</v>
      </c>
      <c r="O15" t="s">
        <v>347</v>
      </c>
      <c r="P15" t="s">
        <v>15</v>
      </c>
    </row>
    <row r="16" spans="1:16">
      <c r="A16" t="s">
        <v>349</v>
      </c>
      <c r="B16" t="s">
        <v>352</v>
      </c>
      <c r="C16" t="s">
        <v>345</v>
      </c>
      <c r="D16" t="s">
        <v>120</v>
      </c>
      <c r="E16" t="s">
        <v>352</v>
      </c>
      <c r="F16" t="s">
        <v>347</v>
      </c>
      <c r="G16" t="s">
        <v>120</v>
      </c>
      <c r="H16" t="s">
        <v>352</v>
      </c>
      <c r="I16" t="s">
        <v>345</v>
      </c>
      <c r="J16" t="s">
        <v>120</v>
      </c>
      <c r="K16" t="s">
        <v>352</v>
      </c>
      <c r="L16" t="s">
        <v>347</v>
      </c>
      <c r="M16" t="s">
        <v>120</v>
      </c>
      <c r="N16" t="s">
        <v>352</v>
      </c>
      <c r="O16" t="s">
        <v>347</v>
      </c>
      <c r="P16" t="s">
        <v>120</v>
      </c>
    </row>
    <row r="17" spans="1:16">
      <c r="A17" t="s">
        <v>299</v>
      </c>
      <c r="B17" t="s">
        <v>415</v>
      </c>
      <c r="C17" t="s">
        <v>347</v>
      </c>
      <c r="D17" t="s">
        <v>234</v>
      </c>
      <c r="E17" t="s">
        <v>415</v>
      </c>
      <c r="F17" t="s">
        <v>347</v>
      </c>
      <c r="G17" t="s">
        <v>21</v>
      </c>
      <c r="H17" t="s">
        <v>415</v>
      </c>
      <c r="I17" t="s">
        <v>345</v>
      </c>
      <c r="J17" t="s">
        <v>244</v>
      </c>
      <c r="K17" t="s">
        <v>415</v>
      </c>
      <c r="L17" t="s">
        <v>347</v>
      </c>
      <c r="M17" t="s">
        <v>205</v>
      </c>
      <c r="N17" t="s">
        <v>415</v>
      </c>
      <c r="O17" t="s">
        <v>345</v>
      </c>
      <c r="P17" t="s">
        <v>133</v>
      </c>
    </row>
    <row r="18" spans="1:16">
      <c r="A18" t="s">
        <v>276</v>
      </c>
      <c r="B18" t="s">
        <v>353</v>
      </c>
      <c r="C18" t="s">
        <v>347</v>
      </c>
      <c r="D18" t="s">
        <v>357</v>
      </c>
      <c r="E18" t="s">
        <v>353</v>
      </c>
      <c r="F18" t="s">
        <v>345</v>
      </c>
      <c r="G18" t="s">
        <v>357</v>
      </c>
      <c r="H18" t="s">
        <v>353</v>
      </c>
      <c r="I18" t="s">
        <v>345</v>
      </c>
      <c r="J18" t="s">
        <v>2</v>
      </c>
      <c r="K18" t="s">
        <v>353</v>
      </c>
      <c r="L18" t="s">
        <v>347</v>
      </c>
      <c r="M18" t="s">
        <v>2</v>
      </c>
      <c r="N18" t="s">
        <v>353</v>
      </c>
      <c r="O18" t="s">
        <v>347</v>
      </c>
      <c r="P18" t="s">
        <v>2</v>
      </c>
    </row>
    <row r="19" spans="1:16">
      <c r="A19" t="s">
        <v>66</v>
      </c>
      <c r="B19" t="s">
        <v>354</v>
      </c>
      <c r="C19" t="s">
        <v>347</v>
      </c>
      <c r="D19" t="s">
        <v>234</v>
      </c>
      <c r="E19" t="s">
        <v>354</v>
      </c>
      <c r="F19" t="s">
        <v>345</v>
      </c>
      <c r="G19" t="s">
        <v>234</v>
      </c>
      <c r="H19" t="s">
        <v>354</v>
      </c>
      <c r="I19" t="s">
        <v>347</v>
      </c>
      <c r="J19" t="s">
        <v>185</v>
      </c>
      <c r="K19" t="s">
        <v>354</v>
      </c>
      <c r="L19" t="s">
        <v>347</v>
      </c>
      <c r="M19" t="s">
        <v>185</v>
      </c>
      <c r="N19" t="s">
        <v>354</v>
      </c>
      <c r="O19" t="s">
        <v>347</v>
      </c>
      <c r="P19" t="s">
        <v>185</v>
      </c>
    </row>
    <row r="20" spans="1:16">
      <c r="A20" t="s">
        <v>78</v>
      </c>
      <c r="B20" t="s">
        <v>483</v>
      </c>
      <c r="C20" t="s">
        <v>347</v>
      </c>
      <c r="D20" t="s">
        <v>41</v>
      </c>
      <c r="E20" t="s">
        <v>484</v>
      </c>
      <c r="F20" t="s">
        <v>347</v>
      </c>
      <c r="G20" t="s">
        <v>41</v>
      </c>
      <c r="H20" t="s">
        <v>483</v>
      </c>
      <c r="I20" t="s">
        <v>345</v>
      </c>
      <c r="J20" t="s">
        <v>84</v>
      </c>
      <c r="K20" t="s">
        <v>483</v>
      </c>
      <c r="L20" t="s">
        <v>347</v>
      </c>
      <c r="M20" t="s">
        <v>84</v>
      </c>
      <c r="N20" t="s">
        <v>483</v>
      </c>
      <c r="O20" t="s">
        <v>347</v>
      </c>
      <c r="P20" t="s">
        <v>84</v>
      </c>
    </row>
    <row r="21" spans="1:16">
      <c r="A21" t="s">
        <v>520</v>
      </c>
      <c r="B21" t="s">
        <v>529</v>
      </c>
      <c r="C21" t="s">
        <v>345</v>
      </c>
      <c r="D21" t="s">
        <v>528</v>
      </c>
      <c r="E21" t="s">
        <v>529</v>
      </c>
      <c r="F21" t="s">
        <v>345</v>
      </c>
      <c r="G21" t="s">
        <v>198</v>
      </c>
      <c r="H21" t="s">
        <v>529</v>
      </c>
      <c r="I21" t="s">
        <v>345</v>
      </c>
      <c r="J21" t="s">
        <v>501</v>
      </c>
      <c r="K21" t="s">
        <v>529</v>
      </c>
      <c r="L21" t="s">
        <v>345</v>
      </c>
      <c r="M21" t="s">
        <v>15</v>
      </c>
      <c r="N21" t="s">
        <v>529</v>
      </c>
      <c r="O21" t="s">
        <v>345</v>
      </c>
      <c r="P21" t="s">
        <v>185</v>
      </c>
    </row>
    <row r="22" spans="1:16">
      <c r="A22" t="s">
        <v>84</v>
      </c>
      <c r="B22" t="s">
        <v>485</v>
      </c>
      <c r="C22" t="s">
        <v>347</v>
      </c>
      <c r="D22" t="s">
        <v>152</v>
      </c>
      <c r="E22" t="s">
        <v>485</v>
      </c>
      <c r="F22" t="s">
        <v>347</v>
      </c>
      <c r="G22" t="s">
        <v>152</v>
      </c>
      <c r="H22" t="s">
        <v>485</v>
      </c>
      <c r="I22" t="s">
        <v>347</v>
      </c>
      <c r="J22" t="s">
        <v>78</v>
      </c>
      <c r="K22" t="s">
        <v>485</v>
      </c>
      <c r="L22" t="s">
        <v>345</v>
      </c>
      <c r="M22" t="s">
        <v>78</v>
      </c>
      <c r="N22" t="s">
        <v>485</v>
      </c>
      <c r="O22" t="s">
        <v>345</v>
      </c>
      <c r="P22" t="s">
        <v>78</v>
      </c>
    </row>
    <row r="23" spans="1:16">
      <c r="A23" t="s">
        <v>95</v>
      </c>
      <c r="B23" t="s">
        <v>486</v>
      </c>
      <c r="C23" t="s">
        <v>345</v>
      </c>
      <c r="D23" t="s">
        <v>27</v>
      </c>
      <c r="E23" t="s">
        <v>356</v>
      </c>
      <c r="F23" t="s">
        <v>345</v>
      </c>
      <c r="G23" t="s">
        <v>127</v>
      </c>
      <c r="H23" t="s">
        <v>356</v>
      </c>
      <c r="I23" t="s">
        <v>347</v>
      </c>
      <c r="J23" t="s">
        <v>127</v>
      </c>
      <c r="K23" t="s">
        <v>486</v>
      </c>
      <c r="L23" t="s">
        <v>347</v>
      </c>
      <c r="M23" t="s">
        <v>127</v>
      </c>
      <c r="N23" t="s">
        <v>486</v>
      </c>
      <c r="O23" t="s">
        <v>347</v>
      </c>
      <c r="P23" t="s">
        <v>127</v>
      </c>
    </row>
    <row r="24" spans="1:16">
      <c r="A24" t="s">
        <v>102</v>
      </c>
      <c r="B24" t="s">
        <v>394</v>
      </c>
      <c r="C24" t="s">
        <v>345</v>
      </c>
      <c r="D24" t="s">
        <v>174</v>
      </c>
      <c r="E24" t="s">
        <v>394</v>
      </c>
      <c r="F24" t="s">
        <v>347</v>
      </c>
      <c r="G24" t="s">
        <v>174</v>
      </c>
      <c r="H24" t="s">
        <v>394</v>
      </c>
      <c r="I24" t="s">
        <v>345</v>
      </c>
      <c r="J24" t="s">
        <v>174</v>
      </c>
      <c r="K24" t="s">
        <v>394</v>
      </c>
      <c r="L24" t="s">
        <v>347</v>
      </c>
      <c r="M24" t="s">
        <v>174</v>
      </c>
      <c r="N24" t="s">
        <v>394</v>
      </c>
      <c r="O24" t="s">
        <v>345</v>
      </c>
      <c r="P24" t="s">
        <v>174</v>
      </c>
    </row>
    <row r="25" spans="1:16">
      <c r="A25" t="s">
        <v>106</v>
      </c>
      <c r="B25" t="s">
        <v>358</v>
      </c>
      <c r="C25" t="s">
        <v>345</v>
      </c>
      <c r="D25" t="s">
        <v>157</v>
      </c>
      <c r="E25" t="s">
        <v>358</v>
      </c>
      <c r="F25" t="s">
        <v>347</v>
      </c>
      <c r="G25" t="s">
        <v>15</v>
      </c>
      <c r="H25" t="s">
        <v>358</v>
      </c>
      <c r="I25" t="s">
        <v>347</v>
      </c>
      <c r="J25" t="s">
        <v>15</v>
      </c>
      <c r="K25" t="s">
        <v>358</v>
      </c>
      <c r="L25" t="s">
        <v>345</v>
      </c>
      <c r="M25" t="s">
        <v>15</v>
      </c>
      <c r="N25" t="s">
        <v>358</v>
      </c>
      <c r="O25" t="s">
        <v>347</v>
      </c>
      <c r="P25" t="s">
        <v>15</v>
      </c>
    </row>
    <row r="26" spans="1:16">
      <c r="A26" t="s">
        <v>348</v>
      </c>
      <c r="B26" t="s">
        <v>359</v>
      </c>
      <c r="C26" t="s">
        <v>345</v>
      </c>
      <c r="D26" t="s">
        <v>140</v>
      </c>
      <c r="E26" t="s">
        <v>359</v>
      </c>
      <c r="F26" t="s">
        <v>347</v>
      </c>
      <c r="G26" t="s">
        <v>60</v>
      </c>
      <c r="H26" t="s">
        <v>359</v>
      </c>
      <c r="I26" t="s">
        <v>347</v>
      </c>
      <c r="J26" t="s">
        <v>120</v>
      </c>
      <c r="K26" t="s">
        <v>359</v>
      </c>
      <c r="L26" t="s">
        <v>347</v>
      </c>
      <c r="M26" t="s">
        <v>120</v>
      </c>
      <c r="N26" t="s">
        <v>359</v>
      </c>
      <c r="O26" t="s">
        <v>347</v>
      </c>
      <c r="P26" t="s">
        <v>120</v>
      </c>
    </row>
    <row r="27" spans="1:16">
      <c r="A27" t="s">
        <v>21</v>
      </c>
      <c r="B27" t="s">
        <v>355</v>
      </c>
      <c r="C27" t="s">
        <v>345</v>
      </c>
      <c r="D27" t="s">
        <v>185</v>
      </c>
      <c r="E27" t="s">
        <v>355</v>
      </c>
      <c r="F27" t="s">
        <v>345</v>
      </c>
      <c r="G27" t="s">
        <v>299</v>
      </c>
      <c r="H27" t="s">
        <v>355</v>
      </c>
      <c r="I27" t="s">
        <v>345</v>
      </c>
      <c r="J27" t="s">
        <v>205</v>
      </c>
      <c r="K27" t="s">
        <v>355</v>
      </c>
      <c r="L27" t="s">
        <v>347</v>
      </c>
      <c r="M27" t="s">
        <v>147</v>
      </c>
      <c r="N27" t="s">
        <v>355</v>
      </c>
      <c r="O27" t="s">
        <v>347</v>
      </c>
      <c r="P27" t="s">
        <v>113</v>
      </c>
    </row>
    <row r="28" spans="1:16">
      <c r="A28" t="s">
        <v>113</v>
      </c>
      <c r="B28" t="s">
        <v>360</v>
      </c>
      <c r="C28" t="s">
        <v>345</v>
      </c>
      <c r="D28" t="s">
        <v>21</v>
      </c>
      <c r="E28" t="s">
        <v>360</v>
      </c>
      <c r="F28" t="s">
        <v>345</v>
      </c>
      <c r="G28" t="s">
        <v>234</v>
      </c>
      <c r="H28" t="s">
        <v>360</v>
      </c>
      <c r="I28" t="s">
        <v>347</v>
      </c>
      <c r="J28" t="s">
        <v>234</v>
      </c>
      <c r="K28" t="s">
        <v>360</v>
      </c>
      <c r="L28" t="s">
        <v>347</v>
      </c>
      <c r="M28" t="s">
        <v>234</v>
      </c>
      <c r="N28" t="s">
        <v>360</v>
      </c>
      <c r="O28" t="s">
        <v>347</v>
      </c>
      <c r="P28" t="s">
        <v>234</v>
      </c>
    </row>
    <row r="29" spans="1:16">
      <c r="A29" t="s">
        <v>120</v>
      </c>
      <c r="B29" t="s">
        <v>361</v>
      </c>
      <c r="C29" t="s">
        <v>347</v>
      </c>
      <c r="D29" t="s">
        <v>349</v>
      </c>
      <c r="E29" t="s">
        <v>361</v>
      </c>
      <c r="F29" t="s">
        <v>345</v>
      </c>
      <c r="G29" t="s">
        <v>349</v>
      </c>
      <c r="H29" t="s">
        <v>361</v>
      </c>
      <c r="I29" t="s">
        <v>347</v>
      </c>
      <c r="J29" t="s">
        <v>349</v>
      </c>
      <c r="K29" t="s">
        <v>361</v>
      </c>
      <c r="L29" t="s">
        <v>345</v>
      </c>
      <c r="M29" t="s">
        <v>349</v>
      </c>
      <c r="N29" t="s">
        <v>361</v>
      </c>
      <c r="O29" t="s">
        <v>345</v>
      </c>
      <c r="P29" t="s">
        <v>349</v>
      </c>
    </row>
    <row r="30" spans="1:16">
      <c r="A30" t="s">
        <v>127</v>
      </c>
      <c r="B30" t="s">
        <v>362</v>
      </c>
      <c r="C30" t="s">
        <v>345</v>
      </c>
      <c r="D30" t="s">
        <v>95</v>
      </c>
      <c r="E30" t="s">
        <v>362</v>
      </c>
      <c r="F30" t="s">
        <v>345</v>
      </c>
      <c r="G30" t="s">
        <v>185</v>
      </c>
      <c r="H30" t="s">
        <v>362</v>
      </c>
      <c r="I30" t="s">
        <v>345</v>
      </c>
      <c r="J30" t="s">
        <v>15</v>
      </c>
      <c r="K30" t="s">
        <v>362</v>
      </c>
      <c r="L30" t="s">
        <v>345</v>
      </c>
      <c r="M30" t="s">
        <v>501</v>
      </c>
      <c r="N30" t="s">
        <v>362</v>
      </c>
      <c r="O30" t="s">
        <v>347</v>
      </c>
      <c r="P30" t="s">
        <v>198</v>
      </c>
    </row>
    <row r="31" spans="1:16">
      <c r="A31" t="s">
        <v>216</v>
      </c>
      <c r="B31" t="s">
        <v>487</v>
      </c>
      <c r="C31" t="s">
        <v>347</v>
      </c>
      <c r="D31" t="s">
        <v>239</v>
      </c>
      <c r="E31" t="s">
        <v>488</v>
      </c>
      <c r="F31" t="s">
        <v>345</v>
      </c>
      <c r="G31" t="s">
        <v>54</v>
      </c>
      <c r="H31" t="s">
        <v>488</v>
      </c>
      <c r="I31" t="s">
        <v>345</v>
      </c>
      <c r="J31" t="s">
        <v>54</v>
      </c>
      <c r="K31" t="s">
        <v>488</v>
      </c>
      <c r="L31" t="s">
        <v>347</v>
      </c>
      <c r="M31" t="s">
        <v>15</v>
      </c>
      <c r="N31" t="s">
        <v>488</v>
      </c>
      <c r="O31" t="s">
        <v>347</v>
      </c>
      <c r="P31" t="s">
        <v>15</v>
      </c>
    </row>
    <row r="32" spans="1:16">
      <c r="A32" t="s">
        <v>133</v>
      </c>
      <c r="B32" t="s">
        <v>363</v>
      </c>
      <c r="C32" t="s">
        <v>347</v>
      </c>
      <c r="D32" t="s">
        <v>185</v>
      </c>
      <c r="E32" t="s">
        <v>363</v>
      </c>
      <c r="F32" t="s">
        <v>347</v>
      </c>
      <c r="G32" t="s">
        <v>299</v>
      </c>
      <c r="H32" t="s">
        <v>363</v>
      </c>
      <c r="I32" t="s">
        <v>347</v>
      </c>
      <c r="J32" t="s">
        <v>185</v>
      </c>
      <c r="K32" t="s">
        <v>363</v>
      </c>
      <c r="L32" t="s">
        <v>347</v>
      </c>
      <c r="M32" t="s">
        <v>185</v>
      </c>
      <c r="N32" t="s">
        <v>363</v>
      </c>
      <c r="O32" t="s">
        <v>347</v>
      </c>
      <c r="P32" t="s">
        <v>185</v>
      </c>
    </row>
    <row r="33" spans="1:16">
      <c r="A33" t="s">
        <v>140</v>
      </c>
      <c r="B33" t="s">
        <v>364</v>
      </c>
      <c r="C33" t="s">
        <v>347</v>
      </c>
      <c r="D33" t="s">
        <v>60</v>
      </c>
      <c r="E33" t="s">
        <v>364</v>
      </c>
      <c r="F33" t="s">
        <v>347</v>
      </c>
      <c r="G33" t="s">
        <v>120</v>
      </c>
      <c r="H33" t="s">
        <v>364</v>
      </c>
      <c r="I33" t="s">
        <v>347</v>
      </c>
      <c r="J33" t="s">
        <v>350</v>
      </c>
      <c r="K33" t="s">
        <v>364</v>
      </c>
      <c r="L33" t="s">
        <v>347</v>
      </c>
      <c r="M33" t="s">
        <v>348</v>
      </c>
      <c r="N33" t="s">
        <v>364</v>
      </c>
      <c r="O33" t="s">
        <v>345</v>
      </c>
      <c r="P33" t="s">
        <v>211</v>
      </c>
    </row>
    <row r="34" spans="1:16">
      <c r="A34" t="s">
        <v>147</v>
      </c>
      <c r="B34" t="s">
        <v>489</v>
      </c>
      <c r="C34" t="s">
        <v>347</v>
      </c>
      <c r="D34" t="s">
        <v>205</v>
      </c>
      <c r="E34" t="s">
        <v>365</v>
      </c>
      <c r="F34" t="s">
        <v>347</v>
      </c>
      <c r="G34" t="s">
        <v>133</v>
      </c>
      <c r="H34" t="s">
        <v>365</v>
      </c>
      <c r="I34" t="s">
        <v>347</v>
      </c>
      <c r="J34" t="s">
        <v>66</v>
      </c>
      <c r="K34" t="s">
        <v>489</v>
      </c>
      <c r="L34" t="s">
        <v>345</v>
      </c>
      <c r="M34" t="s">
        <v>21</v>
      </c>
      <c r="N34" t="s">
        <v>489</v>
      </c>
      <c r="O34" t="s">
        <v>347</v>
      </c>
      <c r="P34" t="s">
        <v>185</v>
      </c>
    </row>
    <row r="35" spans="1:16">
      <c r="A35" t="s">
        <v>152</v>
      </c>
      <c r="B35" t="s">
        <v>498</v>
      </c>
      <c r="C35" t="s">
        <v>345</v>
      </c>
      <c r="D35" t="s">
        <v>192</v>
      </c>
      <c r="E35" t="s">
        <v>366</v>
      </c>
      <c r="F35" t="s">
        <v>345</v>
      </c>
      <c r="G35" t="s">
        <v>15</v>
      </c>
      <c r="H35" t="s">
        <v>366</v>
      </c>
      <c r="I35" t="s">
        <v>347</v>
      </c>
      <c r="J35" t="s">
        <v>15</v>
      </c>
      <c r="K35" t="s">
        <v>498</v>
      </c>
      <c r="L35" t="s">
        <v>347</v>
      </c>
      <c r="M35" t="s">
        <v>15</v>
      </c>
      <c r="N35" t="s">
        <v>498</v>
      </c>
      <c r="O35" t="s">
        <v>347</v>
      </c>
      <c r="P35" t="s">
        <v>15</v>
      </c>
    </row>
    <row r="36" spans="1:16">
      <c r="A36" t="s">
        <v>157</v>
      </c>
      <c r="B36" t="s">
        <v>490</v>
      </c>
      <c r="C36" t="s">
        <v>345</v>
      </c>
      <c r="D36" t="s">
        <v>229</v>
      </c>
      <c r="E36" t="s">
        <v>490</v>
      </c>
      <c r="F36" t="s">
        <v>347</v>
      </c>
      <c r="G36" t="s">
        <v>229</v>
      </c>
      <c r="H36" t="s">
        <v>490</v>
      </c>
      <c r="I36" t="s">
        <v>347</v>
      </c>
      <c r="J36" t="s">
        <v>229</v>
      </c>
      <c r="K36" t="s">
        <v>490</v>
      </c>
      <c r="L36" t="s">
        <v>347</v>
      </c>
      <c r="M36" t="s">
        <v>15</v>
      </c>
      <c r="N36" t="s">
        <v>490</v>
      </c>
      <c r="O36" t="s">
        <v>347</v>
      </c>
      <c r="P36" t="s">
        <v>15</v>
      </c>
    </row>
    <row r="37" spans="1:16">
      <c r="A37" t="s">
        <v>168</v>
      </c>
      <c r="B37" t="s">
        <v>367</v>
      </c>
      <c r="C37" t="s">
        <v>345</v>
      </c>
      <c r="D37" t="s">
        <v>192</v>
      </c>
      <c r="E37" t="s">
        <v>367</v>
      </c>
      <c r="F37" t="s">
        <v>347</v>
      </c>
      <c r="G37" t="s">
        <v>192</v>
      </c>
      <c r="H37" t="s">
        <v>367</v>
      </c>
      <c r="I37" t="s">
        <v>345</v>
      </c>
      <c r="J37" t="s">
        <v>192</v>
      </c>
      <c r="K37" t="s">
        <v>367</v>
      </c>
      <c r="L37" t="s">
        <v>347</v>
      </c>
      <c r="M37" t="s">
        <v>41</v>
      </c>
      <c r="N37" t="s">
        <v>367</v>
      </c>
      <c r="O37" t="s">
        <v>347</v>
      </c>
      <c r="P37" t="s">
        <v>41</v>
      </c>
    </row>
    <row r="38" spans="1:16">
      <c r="A38" t="s">
        <v>174</v>
      </c>
      <c r="B38" t="s">
        <v>368</v>
      </c>
      <c r="C38" t="s">
        <v>347</v>
      </c>
      <c r="D38" t="s">
        <v>102</v>
      </c>
      <c r="E38" t="s">
        <v>368</v>
      </c>
      <c r="F38" t="s">
        <v>345</v>
      </c>
      <c r="G38" t="s">
        <v>102</v>
      </c>
      <c r="H38" t="s">
        <v>368</v>
      </c>
      <c r="I38" t="s">
        <v>347</v>
      </c>
      <c r="J38" t="s">
        <v>102</v>
      </c>
      <c r="K38" t="s">
        <v>499</v>
      </c>
      <c r="L38" t="s">
        <v>345</v>
      </c>
      <c r="M38" t="s">
        <v>102</v>
      </c>
      <c r="N38" t="s">
        <v>499</v>
      </c>
      <c r="O38" t="s">
        <v>347</v>
      </c>
      <c r="P38" t="s">
        <v>102</v>
      </c>
    </row>
    <row r="39" spans="1:16">
      <c r="A39" t="s">
        <v>181</v>
      </c>
      <c r="B39" t="s">
        <v>491</v>
      </c>
      <c r="C39" t="s">
        <v>345</v>
      </c>
      <c r="D39" t="s">
        <v>357</v>
      </c>
      <c r="E39" t="s">
        <v>491</v>
      </c>
      <c r="F39" t="s">
        <v>345</v>
      </c>
      <c r="G39" t="s">
        <v>27</v>
      </c>
      <c r="H39" t="s">
        <v>491</v>
      </c>
      <c r="I39" t="s">
        <v>347</v>
      </c>
      <c r="J39" t="s">
        <v>27</v>
      </c>
      <c r="K39" t="s">
        <v>491</v>
      </c>
      <c r="L39" t="s">
        <v>347</v>
      </c>
      <c r="M39" t="s">
        <v>27</v>
      </c>
      <c r="N39" t="s">
        <v>491</v>
      </c>
      <c r="O39" t="s">
        <v>347</v>
      </c>
      <c r="P39" t="s">
        <v>27</v>
      </c>
    </row>
    <row r="40" spans="1:16">
      <c r="A40" t="s">
        <v>450</v>
      </c>
      <c r="B40" t="s">
        <v>467</v>
      </c>
      <c r="C40" t="s">
        <v>345</v>
      </c>
      <c r="D40" t="s">
        <v>500</v>
      </c>
      <c r="E40" t="s">
        <v>467</v>
      </c>
      <c r="F40" t="s">
        <v>347</v>
      </c>
      <c r="G40" t="s">
        <v>501</v>
      </c>
      <c r="H40" t="s">
        <v>467</v>
      </c>
      <c r="I40" t="s">
        <v>345</v>
      </c>
      <c r="J40" t="s">
        <v>501</v>
      </c>
      <c r="K40" t="s">
        <v>467</v>
      </c>
      <c r="L40" t="s">
        <v>347</v>
      </c>
      <c r="M40" t="s">
        <v>501</v>
      </c>
      <c r="N40" t="s">
        <v>467</v>
      </c>
      <c r="O40" t="s">
        <v>347</v>
      </c>
      <c r="P40" t="s">
        <v>501</v>
      </c>
    </row>
    <row r="41" spans="1:16">
      <c r="A41" t="s">
        <v>459</v>
      </c>
      <c r="B41" t="s">
        <v>492</v>
      </c>
      <c r="C41" t="s">
        <v>347</v>
      </c>
      <c r="D41" t="s">
        <v>443</v>
      </c>
      <c r="E41" t="s">
        <v>492</v>
      </c>
      <c r="F41" t="s">
        <v>347</v>
      </c>
      <c r="G41" t="s">
        <v>443</v>
      </c>
      <c r="H41" t="s">
        <v>492</v>
      </c>
      <c r="I41" t="s">
        <v>345</v>
      </c>
      <c r="J41" t="s">
        <v>454</v>
      </c>
      <c r="K41" t="s">
        <v>492</v>
      </c>
      <c r="L41" t="s">
        <v>345</v>
      </c>
      <c r="M41" t="s">
        <v>454</v>
      </c>
      <c r="N41" t="s">
        <v>492</v>
      </c>
      <c r="O41" t="s">
        <v>345</v>
      </c>
      <c r="P41" t="s">
        <v>454</v>
      </c>
    </row>
    <row r="42" spans="1:16">
      <c r="A42" t="s">
        <v>427</v>
      </c>
      <c r="B42" t="s">
        <v>493</v>
      </c>
      <c r="C42" t="s">
        <v>347</v>
      </c>
      <c r="D42" t="s">
        <v>437</v>
      </c>
      <c r="E42" t="s">
        <v>493</v>
      </c>
      <c r="F42" t="s">
        <v>345</v>
      </c>
      <c r="G42" t="s">
        <v>459</v>
      </c>
      <c r="H42" t="s">
        <v>493</v>
      </c>
      <c r="I42" t="s">
        <v>347</v>
      </c>
      <c r="J42" t="s">
        <v>459</v>
      </c>
      <c r="K42" t="s">
        <v>493</v>
      </c>
      <c r="L42" t="s">
        <v>347</v>
      </c>
      <c r="M42" t="s">
        <v>459</v>
      </c>
      <c r="N42" t="s">
        <v>493</v>
      </c>
      <c r="O42" t="s">
        <v>347</v>
      </c>
      <c r="P42" t="s">
        <v>459</v>
      </c>
    </row>
    <row r="43" spans="1:16">
      <c r="A43" t="s">
        <v>229</v>
      </c>
      <c r="B43" t="s">
        <v>494</v>
      </c>
      <c r="C43" t="s">
        <v>345</v>
      </c>
      <c r="D43" t="s">
        <v>106</v>
      </c>
      <c r="E43" t="s">
        <v>494</v>
      </c>
      <c r="F43" t="s">
        <v>345</v>
      </c>
      <c r="G43" t="s">
        <v>106</v>
      </c>
      <c r="H43" t="s">
        <v>494</v>
      </c>
      <c r="I43" t="s">
        <v>347</v>
      </c>
      <c r="J43" t="s">
        <v>157</v>
      </c>
      <c r="K43" t="s">
        <v>494</v>
      </c>
      <c r="L43" t="s">
        <v>345</v>
      </c>
      <c r="M43" t="s">
        <v>157</v>
      </c>
      <c r="N43" t="s">
        <v>494</v>
      </c>
      <c r="O43" t="s">
        <v>345</v>
      </c>
      <c r="P43" t="s">
        <v>157</v>
      </c>
    </row>
    <row r="44" spans="1:16">
      <c r="A44" t="s">
        <v>192</v>
      </c>
      <c r="B44" t="s">
        <v>369</v>
      </c>
      <c r="C44" t="s">
        <v>347</v>
      </c>
      <c r="D44" t="s">
        <v>152</v>
      </c>
      <c r="E44" t="s">
        <v>369</v>
      </c>
      <c r="F44" t="s">
        <v>345</v>
      </c>
      <c r="G44" t="s">
        <v>239</v>
      </c>
      <c r="H44" t="s">
        <v>369</v>
      </c>
      <c r="I44" t="s">
        <v>347</v>
      </c>
      <c r="J44" t="s">
        <v>239</v>
      </c>
      <c r="K44" t="s">
        <v>369</v>
      </c>
      <c r="L44" t="s">
        <v>345</v>
      </c>
      <c r="M44" t="s">
        <v>239</v>
      </c>
      <c r="N44" t="s">
        <v>369</v>
      </c>
      <c r="O44" t="s">
        <v>345</v>
      </c>
      <c r="P44" t="s">
        <v>239</v>
      </c>
    </row>
    <row r="45" spans="1:16">
      <c r="A45" t="s">
        <v>198</v>
      </c>
      <c r="B45" t="s">
        <v>495</v>
      </c>
      <c r="C45" t="s">
        <v>345</v>
      </c>
      <c r="D45" t="s">
        <v>222</v>
      </c>
      <c r="E45" t="s">
        <v>495</v>
      </c>
      <c r="F45" t="s">
        <v>347</v>
      </c>
      <c r="G45" t="s">
        <v>520</v>
      </c>
      <c r="H45" t="s">
        <v>495</v>
      </c>
      <c r="I45" t="s">
        <v>347</v>
      </c>
      <c r="J45" t="s">
        <v>15</v>
      </c>
      <c r="K45" t="s">
        <v>495</v>
      </c>
      <c r="L45" t="s">
        <v>345</v>
      </c>
      <c r="M45" t="s">
        <v>185</v>
      </c>
      <c r="N45" t="s">
        <v>495</v>
      </c>
      <c r="O45" t="s">
        <v>345</v>
      </c>
      <c r="P45" t="s">
        <v>127</v>
      </c>
    </row>
    <row r="46" spans="1:16">
      <c r="A46" t="s">
        <v>205</v>
      </c>
      <c r="B46" t="s">
        <v>370</v>
      </c>
      <c r="C46" t="s">
        <v>347</v>
      </c>
      <c r="D46" t="s">
        <v>185</v>
      </c>
      <c r="E46" t="s">
        <v>370</v>
      </c>
      <c r="F46" t="s">
        <v>347</v>
      </c>
      <c r="G46" t="s">
        <v>185</v>
      </c>
      <c r="H46" t="s">
        <v>370</v>
      </c>
      <c r="I46" t="s">
        <v>345</v>
      </c>
      <c r="J46" t="s">
        <v>234</v>
      </c>
      <c r="K46" t="s">
        <v>370</v>
      </c>
      <c r="L46" t="s">
        <v>345</v>
      </c>
      <c r="M46" t="s">
        <v>234</v>
      </c>
      <c r="N46" t="s">
        <v>370</v>
      </c>
      <c r="O46" t="s">
        <v>345</v>
      </c>
      <c r="P46" t="s">
        <v>234</v>
      </c>
    </row>
    <row r="47" spans="1:16">
      <c r="A47" t="s">
        <v>337</v>
      </c>
      <c r="B47" t="s">
        <v>407</v>
      </c>
      <c r="C47" t="s">
        <v>347</v>
      </c>
      <c r="D47" t="s">
        <v>168</v>
      </c>
      <c r="E47" t="s">
        <v>407</v>
      </c>
      <c r="F47" t="s">
        <v>347</v>
      </c>
      <c r="G47" t="s">
        <v>168</v>
      </c>
      <c r="H47" t="s">
        <v>407</v>
      </c>
      <c r="I47" t="s">
        <v>347</v>
      </c>
      <c r="J47" t="s">
        <v>239</v>
      </c>
      <c r="K47" t="s">
        <v>407</v>
      </c>
      <c r="L47" t="s">
        <v>345</v>
      </c>
      <c r="M47" t="s">
        <v>239</v>
      </c>
      <c r="N47" t="s">
        <v>407</v>
      </c>
      <c r="O47" t="s">
        <v>347</v>
      </c>
      <c r="P47" t="s">
        <v>239</v>
      </c>
    </row>
    <row r="48" spans="1:16">
      <c r="A48" t="s">
        <v>211</v>
      </c>
      <c r="B48" t="s">
        <v>371</v>
      </c>
      <c r="C48" t="s">
        <v>345</v>
      </c>
      <c r="D48" t="s">
        <v>34</v>
      </c>
      <c r="E48" t="s">
        <v>371</v>
      </c>
      <c r="F48" t="s">
        <v>347</v>
      </c>
      <c r="G48" t="s">
        <v>349</v>
      </c>
      <c r="H48" t="s">
        <v>371</v>
      </c>
      <c r="I48" t="s">
        <v>347</v>
      </c>
      <c r="J48" t="s">
        <v>198</v>
      </c>
      <c r="K48" t="s">
        <v>371</v>
      </c>
      <c r="L48" t="s">
        <v>347</v>
      </c>
      <c r="M48" t="s">
        <v>222</v>
      </c>
      <c r="N48" t="s">
        <v>371</v>
      </c>
      <c r="O48" t="s">
        <v>347</v>
      </c>
      <c r="P48" t="s">
        <v>140</v>
      </c>
    </row>
    <row r="49" spans="1:16">
      <c r="A49" t="s">
        <v>357</v>
      </c>
      <c r="B49" t="s">
        <v>372</v>
      </c>
      <c r="C49" t="s">
        <v>345</v>
      </c>
      <c r="D49" t="s">
        <v>127</v>
      </c>
      <c r="E49" t="s">
        <v>372</v>
      </c>
      <c r="F49" t="s">
        <v>347</v>
      </c>
      <c r="G49" t="s">
        <v>127</v>
      </c>
      <c r="H49" t="s">
        <v>372</v>
      </c>
      <c r="I49" t="s">
        <v>347</v>
      </c>
      <c r="J49" t="s">
        <v>181</v>
      </c>
      <c r="K49" t="s">
        <v>372</v>
      </c>
      <c r="L49" t="s">
        <v>345</v>
      </c>
      <c r="M49" t="s">
        <v>181</v>
      </c>
      <c r="N49" t="s">
        <v>372</v>
      </c>
      <c r="O49" t="s">
        <v>347</v>
      </c>
      <c r="P49" t="s">
        <v>181</v>
      </c>
    </row>
    <row r="50" spans="1:16">
      <c r="A50" t="s">
        <v>222</v>
      </c>
      <c r="B50" t="s">
        <v>373</v>
      </c>
      <c r="C50" t="s">
        <v>345</v>
      </c>
      <c r="D50" t="s">
        <v>120</v>
      </c>
      <c r="E50" t="s">
        <v>373</v>
      </c>
      <c r="F50" t="s">
        <v>345</v>
      </c>
      <c r="G50" t="s">
        <v>120</v>
      </c>
      <c r="H50" t="s">
        <v>373</v>
      </c>
      <c r="I50" t="s">
        <v>347</v>
      </c>
      <c r="J50" t="s">
        <v>198</v>
      </c>
      <c r="K50" t="s">
        <v>373</v>
      </c>
      <c r="L50" t="s">
        <v>347</v>
      </c>
      <c r="M50" t="s">
        <v>198</v>
      </c>
      <c r="N50" t="s">
        <v>373</v>
      </c>
      <c r="O50" t="s">
        <v>347</v>
      </c>
      <c r="P50" t="s">
        <v>198</v>
      </c>
    </row>
    <row r="51" spans="1:16">
      <c r="A51" t="s">
        <v>185</v>
      </c>
      <c r="B51" t="s">
        <v>374</v>
      </c>
      <c r="C51" t="s">
        <v>347</v>
      </c>
      <c r="D51" t="s">
        <v>501</v>
      </c>
      <c r="E51" t="s">
        <v>374</v>
      </c>
      <c r="F51" t="s">
        <v>347</v>
      </c>
      <c r="G51" t="s">
        <v>127</v>
      </c>
      <c r="H51" t="s">
        <v>374</v>
      </c>
      <c r="I51" t="s">
        <v>347</v>
      </c>
      <c r="J51" t="s">
        <v>198</v>
      </c>
      <c r="K51" t="s">
        <v>531</v>
      </c>
      <c r="L51" t="s">
        <v>347</v>
      </c>
      <c r="M51" t="s">
        <v>520</v>
      </c>
      <c r="N51" t="s">
        <v>374</v>
      </c>
      <c r="O51" t="s">
        <v>345</v>
      </c>
      <c r="P51" t="s">
        <v>15</v>
      </c>
    </row>
    <row r="52" spans="1:16">
      <c r="A52" t="s">
        <v>234</v>
      </c>
      <c r="B52" t="s">
        <v>375</v>
      </c>
      <c r="C52" t="s">
        <v>345</v>
      </c>
      <c r="D52" t="s">
        <v>66</v>
      </c>
      <c r="E52" t="s">
        <v>375</v>
      </c>
      <c r="F52" t="s">
        <v>347</v>
      </c>
      <c r="G52" t="s">
        <v>66</v>
      </c>
      <c r="H52" t="s">
        <v>375</v>
      </c>
      <c r="I52" t="s">
        <v>347</v>
      </c>
      <c r="J52" t="s">
        <v>205</v>
      </c>
      <c r="K52" t="s">
        <v>375</v>
      </c>
      <c r="L52" t="s">
        <v>347</v>
      </c>
      <c r="M52" t="s">
        <v>205</v>
      </c>
      <c r="N52" t="s">
        <v>375</v>
      </c>
      <c r="O52" t="s">
        <v>347</v>
      </c>
      <c r="P52" t="s">
        <v>205</v>
      </c>
    </row>
    <row r="53" spans="1:16">
      <c r="A53" t="s">
        <v>239</v>
      </c>
      <c r="B53" t="s">
        <v>496</v>
      </c>
      <c r="C53" t="s">
        <v>347</v>
      </c>
      <c r="D53" t="s">
        <v>15</v>
      </c>
      <c r="E53" t="s">
        <v>496</v>
      </c>
      <c r="F53" t="s">
        <v>347</v>
      </c>
      <c r="G53" t="s">
        <v>192</v>
      </c>
      <c r="H53" t="s">
        <v>496</v>
      </c>
      <c r="I53" t="s">
        <v>345</v>
      </c>
      <c r="J53" t="s">
        <v>192</v>
      </c>
      <c r="K53" t="s">
        <v>496</v>
      </c>
      <c r="L53" t="s">
        <v>347</v>
      </c>
      <c r="M53" t="s">
        <v>192</v>
      </c>
      <c r="N53" t="s">
        <v>496</v>
      </c>
      <c r="O53" t="s">
        <v>347</v>
      </c>
      <c r="P53" t="s">
        <v>192</v>
      </c>
    </row>
    <row r="54" spans="1:16">
      <c r="A54" t="s">
        <v>244</v>
      </c>
      <c r="B54" t="s">
        <v>376</v>
      </c>
      <c r="C54" t="s">
        <v>347</v>
      </c>
      <c r="D54" t="s">
        <v>133</v>
      </c>
      <c r="E54" t="s">
        <v>376</v>
      </c>
      <c r="F54" t="s">
        <v>347</v>
      </c>
      <c r="G54" t="s">
        <v>66</v>
      </c>
      <c r="H54" t="s">
        <v>376</v>
      </c>
      <c r="I54" t="s">
        <v>347</v>
      </c>
      <c r="J54" t="s">
        <v>299</v>
      </c>
      <c r="K54" t="s">
        <v>376</v>
      </c>
      <c r="L54" t="s">
        <v>347</v>
      </c>
      <c r="M54" t="s">
        <v>113</v>
      </c>
      <c r="N54" t="s">
        <v>376</v>
      </c>
      <c r="O54" t="s">
        <v>347</v>
      </c>
      <c r="P54" t="s">
        <v>234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>
      <c r="B6" s="116" t="s">
        <v>290</v>
      </c>
      <c r="C6" s="116" t="s">
        <v>402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1" t="s">
        <v>401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403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1" t="s">
        <v>401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403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>
      <c r="A1" s="91" t="s">
        <v>404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349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350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348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400</v>
      </c>
      <c r="AH15" s="100">
        <f>AVERAGE(AD3:AD12)</f>
        <v>1506.4</v>
      </c>
    </row>
    <row r="16" spans="1:34">
      <c r="A16" s="91" t="s">
        <v>405</v>
      </c>
      <c r="AG16" s="100" t="s">
        <v>399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395</v>
      </c>
      <c r="E17" s="94" t="s">
        <v>396</v>
      </c>
      <c r="F17" s="94" t="s">
        <v>397</v>
      </c>
      <c r="G17" s="94" t="s">
        <v>383</v>
      </c>
      <c r="H17" s="95" t="s">
        <v>398</v>
      </c>
      <c r="I17" s="99" t="s">
        <v>291</v>
      </c>
      <c r="J17" s="94" t="s">
        <v>395</v>
      </c>
      <c r="K17" s="94" t="s">
        <v>396</v>
      </c>
      <c r="L17" s="94" t="s">
        <v>397</v>
      </c>
      <c r="M17" s="94" t="s">
        <v>383</v>
      </c>
      <c r="N17" s="95" t="s">
        <v>398</v>
      </c>
      <c r="O17" s="99" t="s">
        <v>316</v>
      </c>
      <c r="P17" s="94" t="s">
        <v>395</v>
      </c>
      <c r="Q17" s="94" t="s">
        <v>396</v>
      </c>
      <c r="R17" s="94" t="s">
        <v>397</v>
      </c>
      <c r="S17" s="94" t="s">
        <v>383</v>
      </c>
      <c r="T17" s="95" t="s">
        <v>398</v>
      </c>
      <c r="U17" s="99" t="s">
        <v>317</v>
      </c>
      <c r="V17" s="94" t="s">
        <v>395</v>
      </c>
      <c r="W17" s="94" t="s">
        <v>396</v>
      </c>
      <c r="X17" s="94" t="s">
        <v>397</v>
      </c>
      <c r="Y17" s="94" t="s">
        <v>383</v>
      </c>
      <c r="Z17" s="95" t="s">
        <v>398</v>
      </c>
      <c r="AA17" s="99" t="s">
        <v>295</v>
      </c>
      <c r="AB17" s="94" t="s">
        <v>395</v>
      </c>
      <c r="AC17" s="94" t="s">
        <v>396</v>
      </c>
      <c r="AD17" s="94" t="s">
        <v>397</v>
      </c>
      <c r="AE17" s="94" t="s">
        <v>383</v>
      </c>
      <c r="AF17" s="95" t="s">
        <v>398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5C3536FC-56DE-C84D-8806-C59A87FD30CA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A11"/>
  <sheetViews>
    <sheetView workbookViewId="0">
      <selection activeCell="K30" sqref="K30"/>
    </sheetView>
  </sheetViews>
  <sheetFormatPr baseColWidth="10" defaultColWidth="10.83203125" defaultRowHeight="16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393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391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392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357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V111"/>
  <sheetViews>
    <sheetView topLeftCell="A74" workbookViewId="0">
      <selection activeCell="D81" sqref="D81"/>
    </sheetView>
  </sheetViews>
  <sheetFormatPr baseColWidth="10" defaultColWidth="11" defaultRowHeight="16"/>
  <cols>
    <col min="1" max="1" width="18.1640625" bestFit="1" customWidth="1"/>
    <col min="2" max="2" width="6.164062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1" bestFit="1" customWidth="1"/>
    <col min="13" max="13" width="5.1640625" bestFit="1" customWidth="1"/>
    <col min="14" max="14" width="4.1640625" bestFit="1" customWidth="1"/>
    <col min="15" max="15" width="12.1640625" bestFit="1" customWidth="1"/>
    <col min="16" max="16" width="5.1640625" bestFit="1" customWidth="1"/>
    <col min="17" max="17" width="4.1640625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>
      <c r="A1" t="s">
        <v>66</v>
      </c>
      <c r="B1">
        <v>100</v>
      </c>
      <c r="C1" t="s">
        <v>67</v>
      </c>
      <c r="D1" s="2">
        <v>1650</v>
      </c>
      <c r="E1">
        <v>354</v>
      </c>
      <c r="F1" t="s">
        <v>68</v>
      </c>
      <c r="G1">
        <v>1685</v>
      </c>
      <c r="H1">
        <v>265</v>
      </c>
      <c r="I1" t="s">
        <v>69</v>
      </c>
      <c r="J1">
        <v>1650</v>
      </c>
      <c r="K1">
        <v>297</v>
      </c>
      <c r="L1" t="s">
        <v>70</v>
      </c>
      <c r="M1">
        <v>1688</v>
      </c>
      <c r="N1">
        <v>139</v>
      </c>
      <c r="O1" t="s">
        <v>71</v>
      </c>
      <c r="P1">
        <v>1676</v>
      </c>
      <c r="Q1">
        <v>390</v>
      </c>
      <c r="AM1"/>
      <c r="AP1"/>
      <c r="AS1"/>
      <c r="AV1"/>
    </row>
    <row r="2" spans="1:48">
      <c r="A2" t="s">
        <v>421</v>
      </c>
      <c r="C2" t="s">
        <v>422</v>
      </c>
      <c r="D2" s="2">
        <v>1529</v>
      </c>
      <c r="E2">
        <v>81</v>
      </c>
      <c r="F2" t="s">
        <v>423</v>
      </c>
      <c r="G2">
        <v>1514</v>
      </c>
      <c r="H2">
        <v>234</v>
      </c>
      <c r="I2" t="s">
        <v>424</v>
      </c>
      <c r="J2">
        <v>1524</v>
      </c>
      <c r="K2">
        <v>170</v>
      </c>
      <c r="L2" t="s">
        <v>425</v>
      </c>
      <c r="M2">
        <v>1450</v>
      </c>
      <c r="N2">
        <v>0</v>
      </c>
      <c r="O2" t="s">
        <v>426</v>
      </c>
      <c r="P2">
        <v>1481</v>
      </c>
      <c r="Q2">
        <v>36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1687</v>
      </c>
      <c r="E3">
        <v>83</v>
      </c>
      <c r="F3" t="s">
        <v>98</v>
      </c>
      <c r="G3">
        <v>1720</v>
      </c>
      <c r="H3">
        <v>332</v>
      </c>
      <c r="I3" t="s">
        <v>99</v>
      </c>
      <c r="J3">
        <v>1761</v>
      </c>
      <c r="K3">
        <v>370</v>
      </c>
      <c r="L3" t="s">
        <v>100</v>
      </c>
      <c r="M3">
        <v>1725</v>
      </c>
      <c r="N3">
        <v>254</v>
      </c>
      <c r="O3" t="s">
        <v>101</v>
      </c>
      <c r="P3">
        <v>1744</v>
      </c>
      <c r="Q3">
        <v>198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1600</v>
      </c>
      <c r="E4">
        <v>269</v>
      </c>
      <c r="F4" t="s">
        <v>44</v>
      </c>
      <c r="G4">
        <v>1568</v>
      </c>
      <c r="H4">
        <v>53</v>
      </c>
      <c r="I4" t="s">
        <v>45</v>
      </c>
      <c r="J4">
        <v>1539</v>
      </c>
      <c r="K4">
        <v>178</v>
      </c>
      <c r="L4" t="s">
        <v>46</v>
      </c>
      <c r="M4">
        <v>1601</v>
      </c>
      <c r="N4">
        <v>201</v>
      </c>
      <c r="O4" t="s">
        <v>322</v>
      </c>
      <c r="P4">
        <v>1613</v>
      </c>
      <c r="Q4">
        <v>174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1615</v>
      </c>
      <c r="E5">
        <v>379</v>
      </c>
      <c r="F5" t="s">
        <v>23</v>
      </c>
      <c r="G5">
        <v>1543</v>
      </c>
      <c r="H5">
        <v>269</v>
      </c>
      <c r="I5" t="s">
        <v>24</v>
      </c>
      <c r="J5">
        <v>1615</v>
      </c>
      <c r="K5">
        <v>252</v>
      </c>
      <c r="L5" t="s">
        <v>25</v>
      </c>
      <c r="M5">
        <v>1618</v>
      </c>
      <c r="N5">
        <v>250</v>
      </c>
      <c r="O5" t="s">
        <v>26</v>
      </c>
      <c r="P5">
        <v>1734</v>
      </c>
      <c r="Q5">
        <v>211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1591</v>
      </c>
      <c r="E6">
        <v>88</v>
      </c>
      <c r="F6" t="s">
        <v>136</v>
      </c>
      <c r="G6">
        <v>1751</v>
      </c>
      <c r="H6">
        <v>388</v>
      </c>
      <c r="I6" t="s">
        <v>137</v>
      </c>
      <c r="J6">
        <v>1711</v>
      </c>
      <c r="K6">
        <v>290</v>
      </c>
      <c r="L6" t="s">
        <v>138</v>
      </c>
      <c r="M6">
        <v>1711</v>
      </c>
      <c r="N6">
        <v>419</v>
      </c>
      <c r="O6" t="s">
        <v>139</v>
      </c>
      <c r="P6">
        <v>1710</v>
      </c>
      <c r="Q6">
        <v>225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1600</v>
      </c>
      <c r="E7">
        <v>116</v>
      </c>
      <c r="F7" t="s">
        <v>235</v>
      </c>
      <c r="G7">
        <v>1573</v>
      </c>
      <c r="H7">
        <v>278</v>
      </c>
      <c r="I7" t="s">
        <v>236</v>
      </c>
      <c r="J7">
        <v>1636</v>
      </c>
      <c r="K7">
        <v>289</v>
      </c>
      <c r="L7" t="s">
        <v>237</v>
      </c>
      <c r="M7">
        <v>1572</v>
      </c>
      <c r="N7">
        <v>310</v>
      </c>
      <c r="O7" t="s">
        <v>238</v>
      </c>
      <c r="P7">
        <v>1572</v>
      </c>
      <c r="Q7">
        <v>210</v>
      </c>
      <c r="AM7"/>
      <c r="AP7"/>
      <c r="AS7"/>
      <c r="AV7"/>
    </row>
    <row r="8" spans="1:48">
      <c r="A8" t="s">
        <v>427</v>
      </c>
      <c r="C8" t="s">
        <v>428</v>
      </c>
      <c r="D8" s="2">
        <v>1387</v>
      </c>
      <c r="E8">
        <v>31</v>
      </c>
      <c r="F8" t="s">
        <v>471</v>
      </c>
      <c r="G8">
        <v>1485</v>
      </c>
      <c r="H8">
        <v>202</v>
      </c>
      <c r="I8" t="s">
        <v>429</v>
      </c>
      <c r="J8">
        <v>1459</v>
      </c>
      <c r="K8">
        <v>19</v>
      </c>
      <c r="L8" t="s">
        <v>430</v>
      </c>
      <c r="M8">
        <v>1398</v>
      </c>
      <c r="N8">
        <v>35</v>
      </c>
      <c r="O8" t="s">
        <v>431</v>
      </c>
      <c r="P8">
        <v>1464</v>
      </c>
      <c r="Q8">
        <v>53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1686</v>
      </c>
      <c r="E9">
        <v>136</v>
      </c>
      <c r="F9" t="s">
        <v>154</v>
      </c>
      <c r="G9">
        <v>1673</v>
      </c>
      <c r="H9">
        <v>50</v>
      </c>
      <c r="I9" t="s">
        <v>155</v>
      </c>
      <c r="J9">
        <v>1727</v>
      </c>
      <c r="K9">
        <v>211</v>
      </c>
      <c r="L9" t="s">
        <v>156</v>
      </c>
      <c r="M9">
        <v>1707</v>
      </c>
      <c r="N9">
        <v>82</v>
      </c>
      <c r="O9" t="s">
        <v>325</v>
      </c>
      <c r="P9">
        <v>1729</v>
      </c>
      <c r="Q9">
        <v>389</v>
      </c>
      <c r="AM9"/>
      <c r="AP9"/>
      <c r="AS9"/>
      <c r="AV9"/>
    </row>
    <row r="10" spans="1:48">
      <c r="A10" t="s">
        <v>501</v>
      </c>
      <c r="B10" t="s">
        <v>514</v>
      </c>
      <c r="C10" t="s">
        <v>515</v>
      </c>
      <c r="D10" s="2">
        <v>1685</v>
      </c>
      <c r="E10">
        <v>71</v>
      </c>
      <c r="F10" t="s">
        <v>516</v>
      </c>
      <c r="G10">
        <v>1671</v>
      </c>
      <c r="H10">
        <v>46</v>
      </c>
      <c r="I10" t="s">
        <v>517</v>
      </c>
      <c r="J10">
        <v>1643</v>
      </c>
      <c r="K10">
        <v>52</v>
      </c>
      <c r="L10" t="s">
        <v>518</v>
      </c>
      <c r="M10">
        <v>1685</v>
      </c>
      <c r="N10">
        <v>71</v>
      </c>
      <c r="O10" t="s">
        <v>519</v>
      </c>
      <c r="P10">
        <v>1671</v>
      </c>
      <c r="Q10">
        <v>46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1788</v>
      </c>
      <c r="E11">
        <v>281</v>
      </c>
      <c r="F11" t="s">
        <v>303</v>
      </c>
      <c r="G11">
        <v>1659</v>
      </c>
      <c r="H11">
        <v>200</v>
      </c>
      <c r="I11" t="s">
        <v>309</v>
      </c>
      <c r="J11">
        <v>1637</v>
      </c>
      <c r="K11">
        <v>197</v>
      </c>
      <c r="L11" t="s">
        <v>304</v>
      </c>
      <c r="M11">
        <v>1642</v>
      </c>
      <c r="N11">
        <v>218</v>
      </c>
      <c r="O11" t="s">
        <v>305</v>
      </c>
      <c r="P11">
        <v>1689</v>
      </c>
      <c r="Q11">
        <v>238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1575</v>
      </c>
      <c r="E12">
        <v>277</v>
      </c>
      <c r="F12" t="s">
        <v>413</v>
      </c>
      <c r="G12">
        <v>1489</v>
      </c>
      <c r="H12">
        <v>69</v>
      </c>
      <c r="I12" t="s">
        <v>38</v>
      </c>
      <c r="J12">
        <v>1494</v>
      </c>
      <c r="K12">
        <v>191</v>
      </c>
      <c r="L12" t="s">
        <v>39</v>
      </c>
      <c r="M12">
        <v>1560</v>
      </c>
      <c r="N12">
        <v>62</v>
      </c>
      <c r="O12" t="s">
        <v>40</v>
      </c>
      <c r="P12">
        <v>1561</v>
      </c>
      <c r="Q12">
        <v>282</v>
      </c>
      <c r="AM12"/>
      <c r="AP12"/>
      <c r="AS12"/>
      <c r="AV12"/>
    </row>
    <row r="13" spans="1:48">
      <c r="A13" t="s">
        <v>520</v>
      </c>
      <c r="B13" t="s">
        <v>521</v>
      </c>
      <c r="C13" t="s">
        <v>522</v>
      </c>
      <c r="D13" s="2">
        <v>1848</v>
      </c>
      <c r="E13">
        <v>34</v>
      </c>
      <c r="F13" t="s">
        <v>523</v>
      </c>
      <c r="G13">
        <v>1809</v>
      </c>
      <c r="H13">
        <v>52</v>
      </c>
      <c r="I13" t="s">
        <v>524</v>
      </c>
      <c r="J13">
        <v>1848</v>
      </c>
      <c r="K13">
        <v>221</v>
      </c>
      <c r="L13" t="s">
        <v>525</v>
      </c>
      <c r="M13">
        <v>1867</v>
      </c>
      <c r="N13">
        <v>149</v>
      </c>
      <c r="O13" t="s">
        <v>526</v>
      </c>
      <c r="P13">
        <v>1844</v>
      </c>
      <c r="Q13">
        <v>220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1613</v>
      </c>
      <c r="E14">
        <v>187</v>
      </c>
      <c r="F14" t="s">
        <v>208</v>
      </c>
      <c r="G14">
        <v>1490</v>
      </c>
      <c r="H14">
        <v>18</v>
      </c>
      <c r="I14" t="s">
        <v>336</v>
      </c>
      <c r="J14">
        <v>1576</v>
      </c>
      <c r="K14">
        <v>206</v>
      </c>
      <c r="L14" t="s">
        <v>209</v>
      </c>
      <c r="M14">
        <v>1575</v>
      </c>
      <c r="N14">
        <v>394</v>
      </c>
      <c r="O14" t="s">
        <v>210</v>
      </c>
      <c r="P14">
        <v>1592</v>
      </c>
      <c r="Q14">
        <v>38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530</v>
      </c>
      <c r="D15" s="2">
        <v>1609</v>
      </c>
      <c r="E15">
        <v>31</v>
      </c>
      <c r="F15" t="s">
        <v>201</v>
      </c>
      <c r="G15">
        <v>1753</v>
      </c>
      <c r="H15">
        <v>132</v>
      </c>
      <c r="I15" t="s">
        <v>202</v>
      </c>
      <c r="J15">
        <v>1749</v>
      </c>
      <c r="K15">
        <v>141</v>
      </c>
      <c r="L15" t="s">
        <v>203</v>
      </c>
      <c r="M15">
        <v>1751</v>
      </c>
      <c r="N15">
        <v>381</v>
      </c>
      <c r="O15" t="s">
        <v>204</v>
      </c>
      <c r="P15">
        <v>1714</v>
      </c>
      <c r="Q15">
        <v>288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1513</v>
      </c>
      <c r="E16">
        <v>162</v>
      </c>
      <c r="F16" t="s">
        <v>319</v>
      </c>
      <c r="G16">
        <v>1554</v>
      </c>
      <c r="H16">
        <v>57</v>
      </c>
      <c r="I16" t="s">
        <v>327</v>
      </c>
      <c r="J16">
        <v>1528</v>
      </c>
      <c r="K16">
        <v>31</v>
      </c>
      <c r="L16" t="s">
        <v>86</v>
      </c>
      <c r="M16">
        <v>1540</v>
      </c>
      <c r="N16">
        <v>116</v>
      </c>
      <c r="O16" t="s">
        <v>87</v>
      </c>
      <c r="P16">
        <v>1530</v>
      </c>
      <c r="Q16">
        <v>85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1613</v>
      </c>
      <c r="E17">
        <v>176</v>
      </c>
      <c r="F17" t="s">
        <v>225</v>
      </c>
      <c r="G17">
        <v>1653</v>
      </c>
      <c r="H17">
        <v>342</v>
      </c>
      <c r="I17" t="s">
        <v>226</v>
      </c>
      <c r="J17">
        <v>1691</v>
      </c>
      <c r="K17">
        <v>240</v>
      </c>
      <c r="L17" t="s">
        <v>227</v>
      </c>
      <c r="M17">
        <v>1574</v>
      </c>
      <c r="N17">
        <v>175</v>
      </c>
      <c r="O17" t="s">
        <v>228</v>
      </c>
      <c r="P17">
        <v>1567</v>
      </c>
      <c r="Q17">
        <v>88</v>
      </c>
      <c r="AM17"/>
      <c r="AP17"/>
      <c r="AS17"/>
      <c r="AV17"/>
    </row>
    <row r="18" spans="1:48">
      <c r="A18" t="s">
        <v>432</v>
      </c>
      <c r="B18" t="s">
        <v>433</v>
      </c>
      <c r="C18" t="s">
        <v>434</v>
      </c>
      <c r="D18" s="2">
        <v>1234</v>
      </c>
      <c r="E18">
        <v>27</v>
      </c>
      <c r="F18" t="s">
        <v>470</v>
      </c>
      <c r="G18">
        <v>1342</v>
      </c>
      <c r="H18">
        <v>18</v>
      </c>
      <c r="I18" t="s">
        <v>435</v>
      </c>
      <c r="J18">
        <v>1284</v>
      </c>
      <c r="K18">
        <v>16</v>
      </c>
      <c r="L18" t="s">
        <v>468</v>
      </c>
      <c r="M18">
        <v>1234</v>
      </c>
      <c r="N18">
        <v>27</v>
      </c>
      <c r="O18" t="s">
        <v>436</v>
      </c>
      <c r="P18">
        <v>1235</v>
      </c>
      <c r="Q18">
        <v>22</v>
      </c>
      <c r="AM18"/>
      <c r="AP18"/>
      <c r="AS18"/>
      <c r="AV18"/>
    </row>
    <row r="19" spans="1:48">
      <c r="A19" t="s">
        <v>350</v>
      </c>
      <c r="B19" t="s">
        <v>48</v>
      </c>
      <c r="C19" t="s">
        <v>49</v>
      </c>
      <c r="D19" s="2">
        <v>1571</v>
      </c>
      <c r="E19">
        <v>40</v>
      </c>
      <c r="F19" t="s">
        <v>50</v>
      </c>
      <c r="G19">
        <v>1482</v>
      </c>
      <c r="H19">
        <v>82</v>
      </c>
      <c r="I19" t="s">
        <v>51</v>
      </c>
      <c r="J19">
        <v>1481</v>
      </c>
      <c r="K19">
        <v>184</v>
      </c>
      <c r="L19" t="s">
        <v>52</v>
      </c>
      <c r="M19">
        <v>1485</v>
      </c>
      <c r="N19">
        <v>185</v>
      </c>
      <c r="O19" t="s">
        <v>53</v>
      </c>
      <c r="P19">
        <v>1500</v>
      </c>
      <c r="Q19">
        <v>31</v>
      </c>
      <c r="AM19"/>
      <c r="AP19"/>
      <c r="AS19"/>
      <c r="AV19"/>
    </row>
    <row r="20" spans="1:48">
      <c r="A20" t="s">
        <v>244</v>
      </c>
      <c r="B20" t="s">
        <v>307</v>
      </c>
      <c r="C20" t="s">
        <v>245</v>
      </c>
      <c r="D20" s="2">
        <v>1497</v>
      </c>
      <c r="E20">
        <v>212</v>
      </c>
      <c r="F20" t="s">
        <v>246</v>
      </c>
      <c r="G20">
        <v>1643</v>
      </c>
      <c r="H20">
        <v>150</v>
      </c>
      <c r="I20" t="s">
        <v>247</v>
      </c>
      <c r="J20">
        <v>1523</v>
      </c>
      <c r="K20">
        <v>251</v>
      </c>
      <c r="L20" t="s">
        <v>248</v>
      </c>
      <c r="M20">
        <v>1511</v>
      </c>
      <c r="N20">
        <v>83</v>
      </c>
      <c r="O20" t="s">
        <v>249</v>
      </c>
      <c r="P20">
        <v>1497</v>
      </c>
      <c r="Q20">
        <v>202</v>
      </c>
      <c r="AM20"/>
      <c r="AP20"/>
      <c r="AS20"/>
      <c r="AV20"/>
    </row>
    <row r="21" spans="1:48">
      <c r="A21" t="s">
        <v>60</v>
      </c>
      <c r="B21" t="s">
        <v>61</v>
      </c>
      <c r="C21" t="s">
        <v>62</v>
      </c>
      <c r="D21" s="2">
        <v>1560</v>
      </c>
      <c r="E21">
        <v>135</v>
      </c>
      <c r="F21" t="s">
        <v>416</v>
      </c>
      <c r="G21">
        <v>1524</v>
      </c>
      <c r="H21">
        <v>208</v>
      </c>
      <c r="I21" t="s">
        <v>420</v>
      </c>
      <c r="J21">
        <v>1569</v>
      </c>
      <c r="K21">
        <v>134</v>
      </c>
      <c r="L21" t="s">
        <v>65</v>
      </c>
      <c r="M21">
        <v>1525</v>
      </c>
      <c r="N21">
        <v>23</v>
      </c>
      <c r="O21" t="s">
        <v>334</v>
      </c>
      <c r="P21">
        <v>1495</v>
      </c>
      <c r="Q21">
        <v>148</v>
      </c>
      <c r="AM21"/>
      <c r="AP21"/>
      <c r="AS21"/>
      <c r="AV21"/>
    </row>
    <row r="22" spans="1:48">
      <c r="A22" t="s">
        <v>437</v>
      </c>
      <c r="C22" t="s">
        <v>438</v>
      </c>
      <c r="D22" s="2">
        <v>1442</v>
      </c>
      <c r="E22">
        <v>28</v>
      </c>
      <c r="F22" t="s">
        <v>439</v>
      </c>
      <c r="G22">
        <v>1442</v>
      </c>
      <c r="H22">
        <v>28</v>
      </c>
      <c r="I22" t="s">
        <v>440</v>
      </c>
      <c r="J22">
        <v>1426</v>
      </c>
      <c r="K22">
        <v>23</v>
      </c>
      <c r="L22" t="s">
        <v>441</v>
      </c>
      <c r="M22">
        <v>1433</v>
      </c>
      <c r="N22">
        <v>45</v>
      </c>
      <c r="O22" t="s">
        <v>442</v>
      </c>
      <c r="P22">
        <v>1442</v>
      </c>
      <c r="Q22">
        <v>28</v>
      </c>
      <c r="AM22"/>
      <c r="AP22"/>
      <c r="AS22"/>
      <c r="AV22"/>
    </row>
    <row r="23" spans="1:48">
      <c r="A23" t="s">
        <v>239</v>
      </c>
      <c r="B23" t="s">
        <v>240</v>
      </c>
      <c r="C23" t="s">
        <v>342</v>
      </c>
      <c r="D23" s="2">
        <v>1834</v>
      </c>
      <c r="E23">
        <v>68</v>
      </c>
      <c r="F23" t="s">
        <v>241</v>
      </c>
      <c r="G23">
        <v>1768</v>
      </c>
      <c r="H23">
        <v>107</v>
      </c>
      <c r="I23" t="s">
        <v>335</v>
      </c>
      <c r="J23">
        <v>1774</v>
      </c>
      <c r="K23">
        <v>366</v>
      </c>
      <c r="L23" t="s">
        <v>242</v>
      </c>
      <c r="M23">
        <v>1816</v>
      </c>
      <c r="N23">
        <v>51</v>
      </c>
      <c r="O23" t="s">
        <v>243</v>
      </c>
      <c r="P23">
        <v>1776</v>
      </c>
      <c r="Q23">
        <v>171</v>
      </c>
      <c r="AM23"/>
      <c r="AP23"/>
      <c r="AS23"/>
      <c r="AV23"/>
    </row>
    <row r="24" spans="1:48">
      <c r="A24" t="s">
        <v>168</v>
      </c>
      <c r="B24" t="s">
        <v>169</v>
      </c>
      <c r="C24" t="s">
        <v>170</v>
      </c>
      <c r="D24" s="2">
        <v>1518</v>
      </c>
      <c r="E24">
        <v>50</v>
      </c>
      <c r="F24" t="s">
        <v>171</v>
      </c>
      <c r="G24">
        <v>1542</v>
      </c>
      <c r="H24">
        <v>94</v>
      </c>
      <c r="I24" t="s">
        <v>321</v>
      </c>
      <c r="J24">
        <v>1518</v>
      </c>
      <c r="K24">
        <v>50</v>
      </c>
      <c r="L24" t="s">
        <v>172</v>
      </c>
      <c r="M24">
        <v>1525</v>
      </c>
      <c r="N24">
        <v>131</v>
      </c>
      <c r="O24" t="s">
        <v>173</v>
      </c>
      <c r="P24">
        <v>1538</v>
      </c>
      <c r="Q24">
        <v>86</v>
      </c>
      <c r="AM24"/>
      <c r="AP24"/>
      <c r="AS24"/>
      <c r="AV24"/>
    </row>
    <row r="25" spans="1:48">
      <c r="A25" t="s">
        <v>2</v>
      </c>
      <c r="B25" t="s">
        <v>3</v>
      </c>
      <c r="C25" t="s">
        <v>4</v>
      </c>
      <c r="D25" s="2">
        <v>1596</v>
      </c>
      <c r="E25">
        <v>89</v>
      </c>
      <c r="F25" t="s">
        <v>5</v>
      </c>
      <c r="G25">
        <v>1592</v>
      </c>
      <c r="H25">
        <v>130</v>
      </c>
      <c r="I25" t="s">
        <v>343</v>
      </c>
      <c r="J25">
        <v>1575</v>
      </c>
      <c r="K25">
        <v>36</v>
      </c>
      <c r="L25" t="s">
        <v>6</v>
      </c>
      <c r="M25">
        <v>1591</v>
      </c>
      <c r="N25">
        <v>138</v>
      </c>
      <c r="O25" t="s">
        <v>7</v>
      </c>
      <c r="P25">
        <v>1601</v>
      </c>
      <c r="Q25">
        <v>203</v>
      </c>
      <c r="AM25"/>
      <c r="AP25"/>
      <c r="AS25"/>
      <c r="AV25"/>
    </row>
    <row r="26" spans="1:48">
      <c r="A26" t="s">
        <v>357</v>
      </c>
      <c r="B26" t="s">
        <v>162</v>
      </c>
      <c r="C26" t="s">
        <v>163</v>
      </c>
      <c r="D26" s="2">
        <v>1740</v>
      </c>
      <c r="E26">
        <v>374</v>
      </c>
      <c r="F26" t="s">
        <v>410</v>
      </c>
      <c r="G26">
        <v>1613</v>
      </c>
      <c r="H26">
        <v>113</v>
      </c>
      <c r="I26" t="s">
        <v>165</v>
      </c>
      <c r="J26">
        <v>1740</v>
      </c>
      <c r="K26">
        <v>338</v>
      </c>
      <c r="L26" t="s">
        <v>166</v>
      </c>
      <c r="M26">
        <v>1743</v>
      </c>
      <c r="N26">
        <v>240</v>
      </c>
      <c r="O26" t="s">
        <v>167</v>
      </c>
      <c r="P26">
        <v>1745</v>
      </c>
      <c r="Q26">
        <v>197</v>
      </c>
      <c r="AM26"/>
      <c r="AP26"/>
      <c r="AS26"/>
      <c r="AV26"/>
    </row>
    <row r="27" spans="1:48">
      <c r="A27" t="s">
        <v>27</v>
      </c>
      <c r="B27" t="s">
        <v>28</v>
      </c>
      <c r="C27" t="s">
        <v>29</v>
      </c>
      <c r="D27" s="2">
        <v>1810</v>
      </c>
      <c r="E27">
        <v>395</v>
      </c>
      <c r="F27" t="s">
        <v>30</v>
      </c>
      <c r="G27">
        <v>1809</v>
      </c>
      <c r="H27">
        <v>386</v>
      </c>
      <c r="I27" t="s">
        <v>31</v>
      </c>
      <c r="J27">
        <v>1804</v>
      </c>
      <c r="K27">
        <v>323</v>
      </c>
      <c r="L27" t="s">
        <v>32</v>
      </c>
      <c r="M27">
        <v>1810</v>
      </c>
      <c r="N27">
        <v>417</v>
      </c>
      <c r="O27" t="s">
        <v>33</v>
      </c>
      <c r="P27">
        <v>1806</v>
      </c>
      <c r="Q27">
        <v>425</v>
      </c>
      <c r="AM27"/>
      <c r="AP27"/>
      <c r="AS27"/>
      <c r="AV27"/>
    </row>
    <row r="28" spans="1:48">
      <c r="A28" t="s">
        <v>127</v>
      </c>
      <c r="B28" t="s">
        <v>380</v>
      </c>
      <c r="C28" t="s">
        <v>128</v>
      </c>
      <c r="D28" s="2">
        <v>1915</v>
      </c>
      <c r="E28">
        <v>106</v>
      </c>
      <c r="F28" t="s">
        <v>129</v>
      </c>
      <c r="G28">
        <v>1916</v>
      </c>
      <c r="H28">
        <v>272</v>
      </c>
      <c r="I28" t="s">
        <v>130</v>
      </c>
      <c r="J28">
        <v>1900</v>
      </c>
      <c r="K28">
        <v>167</v>
      </c>
      <c r="L28" t="s">
        <v>131</v>
      </c>
      <c r="M28">
        <v>1922</v>
      </c>
      <c r="N28">
        <v>397</v>
      </c>
      <c r="O28" t="s">
        <v>132</v>
      </c>
      <c r="P28">
        <v>1922</v>
      </c>
      <c r="Q28">
        <v>393</v>
      </c>
      <c r="AM28"/>
      <c r="AP28"/>
      <c r="AS28"/>
      <c r="AV28"/>
    </row>
    <row r="29" spans="1:48">
      <c r="A29" t="s">
        <v>174</v>
      </c>
      <c r="B29" t="s">
        <v>175</v>
      </c>
      <c r="C29" t="s">
        <v>176</v>
      </c>
      <c r="D29" s="2">
        <v>1386</v>
      </c>
      <c r="E29">
        <v>133</v>
      </c>
      <c r="F29" t="s">
        <v>177</v>
      </c>
      <c r="G29">
        <v>1411</v>
      </c>
      <c r="H29">
        <v>48</v>
      </c>
      <c r="I29" t="s">
        <v>178</v>
      </c>
      <c r="J29">
        <v>1383</v>
      </c>
      <c r="K29">
        <v>183</v>
      </c>
      <c r="L29" t="s">
        <v>179</v>
      </c>
      <c r="M29">
        <v>1381</v>
      </c>
      <c r="N29">
        <v>173</v>
      </c>
      <c r="O29" t="s">
        <v>180</v>
      </c>
      <c r="P29">
        <v>1364</v>
      </c>
      <c r="Q29">
        <v>147</v>
      </c>
      <c r="AM29"/>
      <c r="AP29"/>
      <c r="AS29"/>
      <c r="AV29"/>
    </row>
    <row r="30" spans="1:48">
      <c r="A30" t="s">
        <v>54</v>
      </c>
      <c r="B30" t="s">
        <v>55</v>
      </c>
      <c r="C30" t="s">
        <v>56</v>
      </c>
      <c r="D30" s="2">
        <v>1484</v>
      </c>
      <c r="E30">
        <v>95</v>
      </c>
      <c r="F30" t="s">
        <v>57</v>
      </c>
      <c r="G30">
        <v>1406</v>
      </c>
      <c r="H30">
        <v>195</v>
      </c>
      <c r="I30" t="s">
        <v>320</v>
      </c>
      <c r="J30">
        <v>1449</v>
      </c>
      <c r="K30">
        <v>43</v>
      </c>
      <c r="L30" t="s">
        <v>58</v>
      </c>
      <c r="M30">
        <v>1461</v>
      </c>
      <c r="N30">
        <v>326</v>
      </c>
      <c r="O30" t="s">
        <v>59</v>
      </c>
      <c r="P30">
        <v>1478</v>
      </c>
      <c r="Q30">
        <v>319</v>
      </c>
      <c r="AM30"/>
      <c r="AP30"/>
      <c r="AS30"/>
      <c r="AV30"/>
    </row>
    <row r="31" spans="1:48">
      <c r="A31" t="s">
        <v>102</v>
      </c>
      <c r="B31" t="s">
        <v>102</v>
      </c>
      <c r="C31" t="s">
        <v>103</v>
      </c>
      <c r="D31" s="2">
        <v>1503</v>
      </c>
      <c r="E31">
        <v>203</v>
      </c>
      <c r="F31" t="s">
        <v>104</v>
      </c>
      <c r="G31">
        <v>1503</v>
      </c>
      <c r="H31">
        <v>203</v>
      </c>
      <c r="I31" t="s">
        <v>105</v>
      </c>
      <c r="J31">
        <v>1503</v>
      </c>
      <c r="K31">
        <v>203</v>
      </c>
      <c r="L31" t="s">
        <v>393</v>
      </c>
      <c r="M31">
        <v>1514</v>
      </c>
      <c r="N31">
        <v>217</v>
      </c>
      <c r="O31" t="s">
        <v>328</v>
      </c>
      <c r="P31">
        <v>1502</v>
      </c>
      <c r="Q31">
        <v>209</v>
      </c>
      <c r="AM31"/>
      <c r="AP31"/>
      <c r="AS31"/>
      <c r="AV31"/>
    </row>
    <row r="32" spans="1:48">
      <c r="A32" t="s">
        <v>140</v>
      </c>
      <c r="B32" t="s">
        <v>141</v>
      </c>
      <c r="C32" t="s">
        <v>142</v>
      </c>
      <c r="D32" s="2">
        <v>1583</v>
      </c>
      <c r="E32">
        <v>123</v>
      </c>
      <c r="F32" t="s">
        <v>143</v>
      </c>
      <c r="G32">
        <v>1567</v>
      </c>
      <c r="H32">
        <v>145</v>
      </c>
      <c r="I32" t="s">
        <v>144</v>
      </c>
      <c r="J32">
        <v>1554</v>
      </c>
      <c r="K32">
        <v>167</v>
      </c>
      <c r="L32" t="s">
        <v>145</v>
      </c>
      <c r="M32">
        <v>1583</v>
      </c>
      <c r="N32">
        <v>123</v>
      </c>
      <c r="O32" t="s">
        <v>146</v>
      </c>
      <c r="P32">
        <v>1560</v>
      </c>
      <c r="Q32">
        <v>144</v>
      </c>
      <c r="AM32"/>
      <c r="AP32"/>
      <c r="AS32"/>
      <c r="AV32"/>
    </row>
    <row r="33" spans="1:48">
      <c r="A33" t="s">
        <v>229</v>
      </c>
      <c r="B33" t="s">
        <v>229</v>
      </c>
      <c r="C33" t="s">
        <v>230</v>
      </c>
      <c r="D33" s="2">
        <v>1488</v>
      </c>
      <c r="E33">
        <v>250</v>
      </c>
      <c r="F33" t="s">
        <v>381</v>
      </c>
      <c r="G33">
        <v>1560</v>
      </c>
      <c r="H33">
        <v>75</v>
      </c>
      <c r="I33" t="s">
        <v>231</v>
      </c>
      <c r="J33">
        <v>1480</v>
      </c>
      <c r="K33">
        <v>189</v>
      </c>
      <c r="L33" t="s">
        <v>232</v>
      </c>
      <c r="M33">
        <v>1423</v>
      </c>
      <c r="N33">
        <v>45</v>
      </c>
      <c r="O33" t="s">
        <v>233</v>
      </c>
      <c r="P33">
        <v>1492</v>
      </c>
      <c r="Q33">
        <v>253</v>
      </c>
      <c r="AM33"/>
      <c r="AP33"/>
      <c r="AS33"/>
      <c r="AV33"/>
    </row>
    <row r="34" spans="1:48">
      <c r="A34" t="s">
        <v>147</v>
      </c>
      <c r="B34" t="s">
        <v>301</v>
      </c>
      <c r="C34" t="s">
        <v>329</v>
      </c>
      <c r="D34" s="2">
        <v>1542</v>
      </c>
      <c r="E34">
        <v>170</v>
      </c>
      <c r="F34" t="s">
        <v>148</v>
      </c>
      <c r="G34">
        <v>1490</v>
      </c>
      <c r="H34">
        <v>97</v>
      </c>
      <c r="I34" t="s">
        <v>149</v>
      </c>
      <c r="J34">
        <v>1556</v>
      </c>
      <c r="K34">
        <v>260</v>
      </c>
      <c r="L34" t="s">
        <v>150</v>
      </c>
      <c r="M34">
        <v>1545</v>
      </c>
      <c r="N34">
        <v>352</v>
      </c>
      <c r="O34" t="s">
        <v>151</v>
      </c>
      <c r="P34">
        <v>1530</v>
      </c>
      <c r="Q34">
        <v>299</v>
      </c>
      <c r="AM34"/>
      <c r="AP34"/>
      <c r="AS34"/>
      <c r="AV34"/>
    </row>
    <row r="35" spans="1:48">
      <c r="A35" t="s">
        <v>348</v>
      </c>
      <c r="B35" t="s">
        <v>89</v>
      </c>
      <c r="C35" t="s">
        <v>90</v>
      </c>
      <c r="D35" s="2">
        <v>1479</v>
      </c>
      <c r="E35">
        <v>69</v>
      </c>
      <c r="F35" t="s">
        <v>91</v>
      </c>
      <c r="G35">
        <v>1504</v>
      </c>
      <c r="H35">
        <v>111</v>
      </c>
      <c r="I35" t="s">
        <v>92</v>
      </c>
      <c r="J35">
        <v>1443</v>
      </c>
      <c r="K35">
        <v>57</v>
      </c>
      <c r="L35" t="s">
        <v>93</v>
      </c>
      <c r="M35">
        <v>1446</v>
      </c>
      <c r="N35">
        <v>102</v>
      </c>
      <c r="O35" t="s">
        <v>94</v>
      </c>
      <c r="P35">
        <v>1523</v>
      </c>
      <c r="Q35">
        <v>58</v>
      </c>
      <c r="AM35"/>
      <c r="AP35"/>
      <c r="AS35"/>
      <c r="AV35"/>
    </row>
    <row r="36" spans="1:48">
      <c r="A36" t="s">
        <v>276</v>
      </c>
      <c r="B36" t="s">
        <v>277</v>
      </c>
      <c r="C36" t="s">
        <v>278</v>
      </c>
      <c r="D36" s="2">
        <v>1589</v>
      </c>
      <c r="E36">
        <v>121</v>
      </c>
      <c r="F36" t="s">
        <v>341</v>
      </c>
      <c r="G36">
        <v>1584</v>
      </c>
      <c r="H36">
        <v>115</v>
      </c>
      <c r="I36" t="s">
        <v>340</v>
      </c>
      <c r="J36">
        <v>1584</v>
      </c>
      <c r="K36">
        <v>69</v>
      </c>
      <c r="L36" t="s">
        <v>279</v>
      </c>
      <c r="M36">
        <v>1593</v>
      </c>
      <c r="N36">
        <v>296</v>
      </c>
      <c r="O36" t="s">
        <v>330</v>
      </c>
      <c r="P36">
        <v>1592</v>
      </c>
      <c r="Q36">
        <v>204</v>
      </c>
      <c r="AM36"/>
      <c r="AP36"/>
      <c r="AS36"/>
      <c r="AV36"/>
    </row>
    <row r="37" spans="1:48">
      <c r="A37" t="s">
        <v>192</v>
      </c>
      <c r="B37" t="s">
        <v>193</v>
      </c>
      <c r="C37" t="s">
        <v>194</v>
      </c>
      <c r="D37" s="2">
        <v>1745</v>
      </c>
      <c r="E37">
        <v>195</v>
      </c>
      <c r="F37" t="s">
        <v>195</v>
      </c>
      <c r="G37">
        <v>1645</v>
      </c>
      <c r="H37">
        <v>132</v>
      </c>
      <c r="I37" t="s">
        <v>196</v>
      </c>
      <c r="J37">
        <v>1679</v>
      </c>
      <c r="K37">
        <v>241</v>
      </c>
      <c r="L37" t="s">
        <v>197</v>
      </c>
      <c r="M37">
        <v>1678</v>
      </c>
      <c r="N37">
        <v>282</v>
      </c>
      <c r="O37" t="s">
        <v>331</v>
      </c>
      <c r="P37">
        <v>1740</v>
      </c>
      <c r="Q37">
        <v>55</v>
      </c>
      <c r="AM37"/>
      <c r="AP37"/>
      <c r="AS37"/>
      <c r="AV37"/>
    </row>
    <row r="38" spans="1:48">
      <c r="A38" t="s">
        <v>443</v>
      </c>
      <c r="B38" t="s">
        <v>444</v>
      </c>
      <c r="C38" t="s">
        <v>445</v>
      </c>
      <c r="D38" s="2">
        <v>1640</v>
      </c>
      <c r="E38">
        <v>34</v>
      </c>
      <c r="F38" t="s">
        <v>446</v>
      </c>
      <c r="G38">
        <v>1572</v>
      </c>
      <c r="H38">
        <v>87</v>
      </c>
      <c r="I38" t="s">
        <v>447</v>
      </c>
      <c r="J38">
        <v>1571</v>
      </c>
      <c r="K38">
        <v>89</v>
      </c>
      <c r="L38" t="s">
        <v>448</v>
      </c>
      <c r="M38">
        <v>1548</v>
      </c>
      <c r="N38">
        <v>54</v>
      </c>
      <c r="O38" t="s">
        <v>449</v>
      </c>
      <c r="P38">
        <v>1588</v>
      </c>
      <c r="Q38">
        <v>76</v>
      </c>
      <c r="AM38"/>
      <c r="AP38"/>
      <c r="AS38"/>
      <c r="AV38"/>
    </row>
    <row r="39" spans="1:48">
      <c r="A39" t="s">
        <v>15</v>
      </c>
      <c r="B39" t="s">
        <v>312</v>
      </c>
      <c r="C39" t="s">
        <v>16</v>
      </c>
      <c r="D39" s="2">
        <v>1750</v>
      </c>
      <c r="E39">
        <v>221</v>
      </c>
      <c r="F39" t="s">
        <v>408</v>
      </c>
      <c r="G39">
        <v>1757</v>
      </c>
      <c r="H39">
        <v>349</v>
      </c>
      <c r="I39" t="s">
        <v>18</v>
      </c>
      <c r="J39">
        <v>1763</v>
      </c>
      <c r="K39">
        <v>381</v>
      </c>
      <c r="L39" t="s">
        <v>502</v>
      </c>
      <c r="M39">
        <v>1791</v>
      </c>
      <c r="N39">
        <v>332</v>
      </c>
      <c r="O39" t="s">
        <v>20</v>
      </c>
      <c r="P39">
        <v>1761</v>
      </c>
      <c r="Q39">
        <v>179</v>
      </c>
      <c r="AM39"/>
      <c r="AP39"/>
      <c r="AS39"/>
      <c r="AV39"/>
    </row>
    <row r="40" spans="1:48">
      <c r="A40" t="s">
        <v>181</v>
      </c>
      <c r="B40" t="s">
        <v>182</v>
      </c>
      <c r="C40" t="s">
        <v>391</v>
      </c>
      <c r="D40" s="2">
        <v>1623</v>
      </c>
      <c r="E40">
        <v>46</v>
      </c>
      <c r="F40" t="s">
        <v>414</v>
      </c>
      <c r="G40">
        <v>1599</v>
      </c>
      <c r="H40">
        <v>18</v>
      </c>
      <c r="I40" t="s">
        <v>183</v>
      </c>
      <c r="J40">
        <v>1712</v>
      </c>
      <c r="K40">
        <v>454</v>
      </c>
      <c r="L40" t="s">
        <v>184</v>
      </c>
      <c r="M40">
        <v>1712</v>
      </c>
      <c r="N40">
        <v>464</v>
      </c>
      <c r="O40" t="s">
        <v>392</v>
      </c>
      <c r="P40">
        <v>1737</v>
      </c>
      <c r="Q40">
        <v>425</v>
      </c>
      <c r="AM40"/>
      <c r="AP40"/>
      <c r="AS40"/>
      <c r="AV40"/>
    </row>
    <row r="41" spans="1:48">
      <c r="A41" t="s">
        <v>337</v>
      </c>
      <c r="B41" t="s">
        <v>72</v>
      </c>
      <c r="C41" t="s">
        <v>73</v>
      </c>
      <c r="D41" s="2">
        <v>1549</v>
      </c>
      <c r="E41">
        <v>89</v>
      </c>
      <c r="F41" t="s">
        <v>411</v>
      </c>
      <c r="G41">
        <v>1559</v>
      </c>
      <c r="H41">
        <v>70</v>
      </c>
      <c r="I41" t="s">
        <v>75</v>
      </c>
      <c r="J41">
        <v>1580</v>
      </c>
      <c r="K41">
        <v>48</v>
      </c>
      <c r="L41" t="s">
        <v>76</v>
      </c>
      <c r="M41">
        <v>1549</v>
      </c>
      <c r="N41">
        <v>222</v>
      </c>
      <c r="O41" t="s">
        <v>77</v>
      </c>
      <c r="P41">
        <v>1549</v>
      </c>
      <c r="Q41">
        <v>86</v>
      </c>
      <c r="AM41"/>
      <c r="AP41"/>
      <c r="AS41"/>
      <c r="AV41"/>
    </row>
    <row r="42" spans="1:48">
      <c r="A42" t="s">
        <v>106</v>
      </c>
      <c r="B42" t="s">
        <v>107</v>
      </c>
      <c r="C42" t="s">
        <v>108</v>
      </c>
      <c r="D42" s="2">
        <v>1541</v>
      </c>
      <c r="E42">
        <v>339</v>
      </c>
      <c r="F42" t="s">
        <v>109</v>
      </c>
      <c r="G42">
        <v>1541</v>
      </c>
      <c r="H42">
        <v>175</v>
      </c>
      <c r="I42" t="s">
        <v>110</v>
      </c>
      <c r="J42">
        <v>1541</v>
      </c>
      <c r="K42">
        <v>53</v>
      </c>
      <c r="L42" t="s">
        <v>111</v>
      </c>
      <c r="M42">
        <v>1588</v>
      </c>
      <c r="N42">
        <v>200</v>
      </c>
      <c r="O42" t="s">
        <v>112</v>
      </c>
      <c r="P42">
        <v>1541</v>
      </c>
      <c r="Q42">
        <v>78</v>
      </c>
      <c r="AM42"/>
      <c r="AP42"/>
      <c r="AS42"/>
      <c r="AV42"/>
    </row>
    <row r="43" spans="1:48">
      <c r="A43" t="s">
        <v>120</v>
      </c>
      <c r="B43" t="s">
        <v>121</v>
      </c>
      <c r="C43" t="s">
        <v>122</v>
      </c>
      <c r="D43" s="2">
        <v>1657</v>
      </c>
      <c r="E43">
        <v>283</v>
      </c>
      <c r="F43" t="s">
        <v>123</v>
      </c>
      <c r="G43">
        <v>1638</v>
      </c>
      <c r="H43">
        <v>127</v>
      </c>
      <c r="I43" t="s">
        <v>124</v>
      </c>
      <c r="J43">
        <v>1584</v>
      </c>
      <c r="K43">
        <v>89</v>
      </c>
      <c r="L43" t="s">
        <v>125</v>
      </c>
      <c r="M43">
        <v>1620</v>
      </c>
      <c r="N43">
        <v>181</v>
      </c>
      <c r="O43" t="s">
        <v>126</v>
      </c>
      <c r="P43">
        <v>1588</v>
      </c>
      <c r="Q43">
        <v>197</v>
      </c>
      <c r="AM43"/>
      <c r="AP43"/>
      <c r="AS43"/>
      <c r="AV43"/>
    </row>
    <row r="44" spans="1:48">
      <c r="A44" t="s">
        <v>450</v>
      </c>
      <c r="C44" t="s">
        <v>472</v>
      </c>
      <c r="D44" s="2">
        <v>1682</v>
      </c>
      <c r="E44">
        <v>73</v>
      </c>
      <c r="F44" t="s">
        <v>451</v>
      </c>
      <c r="G44">
        <v>1700</v>
      </c>
      <c r="H44">
        <v>79</v>
      </c>
      <c r="I44" t="s">
        <v>452</v>
      </c>
      <c r="J44">
        <v>1700</v>
      </c>
      <c r="K44">
        <v>245</v>
      </c>
      <c r="L44" t="s">
        <v>453</v>
      </c>
      <c r="M44">
        <v>1697</v>
      </c>
      <c r="N44">
        <v>80</v>
      </c>
      <c r="O44" t="s">
        <v>473</v>
      </c>
      <c r="P44">
        <v>1725</v>
      </c>
      <c r="Q44">
        <v>287</v>
      </c>
      <c r="AM44"/>
      <c r="AS44"/>
      <c r="AV44"/>
    </row>
    <row r="45" spans="1:48">
      <c r="A45" t="s">
        <v>454</v>
      </c>
      <c r="C45" t="s">
        <v>469</v>
      </c>
      <c r="D45" s="2">
        <v>1446</v>
      </c>
      <c r="E45">
        <v>43</v>
      </c>
      <c r="F45" t="s">
        <v>455</v>
      </c>
      <c r="G45">
        <v>1410</v>
      </c>
      <c r="H45">
        <v>134</v>
      </c>
      <c r="I45" t="s">
        <v>456</v>
      </c>
      <c r="J45">
        <v>1462</v>
      </c>
      <c r="K45">
        <v>85</v>
      </c>
      <c r="L45" t="s">
        <v>457</v>
      </c>
      <c r="M45">
        <v>1459</v>
      </c>
      <c r="N45">
        <v>87</v>
      </c>
      <c r="O45" t="s">
        <v>458</v>
      </c>
      <c r="P45">
        <v>1445</v>
      </c>
      <c r="Q45">
        <v>16</v>
      </c>
    </row>
    <row r="46" spans="1:48">
      <c r="A46" t="s">
        <v>185</v>
      </c>
      <c r="B46" t="s">
        <v>186</v>
      </c>
      <c r="C46" t="s">
        <v>187</v>
      </c>
      <c r="D46" s="2">
        <v>1780</v>
      </c>
      <c r="E46">
        <v>317</v>
      </c>
      <c r="F46" t="s">
        <v>188</v>
      </c>
      <c r="G46">
        <v>1749</v>
      </c>
      <c r="H46">
        <v>340</v>
      </c>
      <c r="I46" t="s">
        <v>189</v>
      </c>
      <c r="J46">
        <v>1748</v>
      </c>
      <c r="K46">
        <v>333</v>
      </c>
      <c r="L46" t="s">
        <v>190</v>
      </c>
      <c r="M46">
        <v>1800</v>
      </c>
      <c r="N46">
        <v>351</v>
      </c>
      <c r="O46" t="s">
        <v>191</v>
      </c>
      <c r="P46">
        <v>1743</v>
      </c>
      <c r="Q46">
        <v>181</v>
      </c>
    </row>
    <row r="47" spans="1:48">
      <c r="A47" t="s">
        <v>113</v>
      </c>
      <c r="B47" t="s">
        <v>114</v>
      </c>
      <c r="C47" t="s">
        <v>115</v>
      </c>
      <c r="D47" s="2">
        <v>1772</v>
      </c>
      <c r="E47">
        <v>309</v>
      </c>
      <c r="F47" t="s">
        <v>116</v>
      </c>
      <c r="G47">
        <v>1619</v>
      </c>
      <c r="H47">
        <v>79</v>
      </c>
      <c r="I47" t="s">
        <v>117</v>
      </c>
      <c r="J47">
        <v>1772</v>
      </c>
      <c r="K47">
        <v>420</v>
      </c>
      <c r="L47" t="s">
        <v>118</v>
      </c>
      <c r="M47">
        <v>1715</v>
      </c>
      <c r="N47">
        <v>287</v>
      </c>
      <c r="O47" t="s">
        <v>119</v>
      </c>
      <c r="P47">
        <v>1715</v>
      </c>
      <c r="Q47">
        <v>295</v>
      </c>
    </row>
    <row r="48" spans="1:48">
      <c r="A48" t="s">
        <v>157</v>
      </c>
      <c r="B48" t="s">
        <v>158</v>
      </c>
      <c r="C48">
        <v>957</v>
      </c>
      <c r="D48" s="2">
        <v>1637</v>
      </c>
      <c r="E48">
        <v>310</v>
      </c>
      <c r="F48" t="s">
        <v>409</v>
      </c>
      <c r="G48">
        <v>1747</v>
      </c>
      <c r="H48">
        <v>336</v>
      </c>
      <c r="I48" t="s">
        <v>159</v>
      </c>
      <c r="J48">
        <v>1637</v>
      </c>
      <c r="K48">
        <v>382</v>
      </c>
      <c r="L48" t="s">
        <v>160</v>
      </c>
      <c r="M48">
        <v>1637</v>
      </c>
      <c r="N48">
        <v>382</v>
      </c>
      <c r="O48" t="s">
        <v>161</v>
      </c>
      <c r="P48">
        <v>1712</v>
      </c>
      <c r="Q48">
        <v>145</v>
      </c>
      <c r="AM48" s="15"/>
    </row>
    <row r="49" spans="1:42">
      <c r="A49" t="s">
        <v>216</v>
      </c>
      <c r="B49" t="s">
        <v>217</v>
      </c>
      <c r="C49" t="s">
        <v>417</v>
      </c>
      <c r="D49" s="2">
        <v>1559</v>
      </c>
      <c r="E49">
        <v>336</v>
      </c>
      <c r="F49" t="s">
        <v>218</v>
      </c>
      <c r="G49">
        <v>1383</v>
      </c>
      <c r="H49">
        <v>59</v>
      </c>
      <c r="I49" t="s">
        <v>418</v>
      </c>
      <c r="J49">
        <v>1407</v>
      </c>
      <c r="K49">
        <v>138</v>
      </c>
      <c r="L49" t="s">
        <v>220</v>
      </c>
      <c r="M49">
        <v>1400</v>
      </c>
      <c r="N49">
        <v>76</v>
      </c>
      <c r="O49" t="s">
        <v>221</v>
      </c>
      <c r="P49">
        <v>1389</v>
      </c>
      <c r="Q49">
        <v>56</v>
      </c>
    </row>
    <row r="50" spans="1:42">
      <c r="A50" t="s">
        <v>211</v>
      </c>
      <c r="B50" t="s">
        <v>282</v>
      </c>
      <c r="C50" t="s">
        <v>212</v>
      </c>
      <c r="D50" s="2">
        <v>1452</v>
      </c>
      <c r="E50">
        <v>31</v>
      </c>
      <c r="F50" t="s">
        <v>333</v>
      </c>
      <c r="G50">
        <v>1532</v>
      </c>
      <c r="H50">
        <v>188</v>
      </c>
      <c r="I50" t="s">
        <v>213</v>
      </c>
      <c r="J50">
        <v>1563</v>
      </c>
      <c r="K50">
        <v>183</v>
      </c>
      <c r="L50" t="s">
        <v>214</v>
      </c>
      <c r="M50">
        <v>1562</v>
      </c>
      <c r="N50">
        <v>114</v>
      </c>
      <c r="O50" t="s">
        <v>215</v>
      </c>
      <c r="P50">
        <v>1498</v>
      </c>
      <c r="Q50">
        <v>139</v>
      </c>
    </row>
    <row r="51" spans="1:42">
      <c r="A51" t="s">
        <v>78</v>
      </c>
      <c r="B51" t="s">
        <v>79</v>
      </c>
      <c r="C51" t="s">
        <v>412</v>
      </c>
      <c r="D51" s="2">
        <v>1457</v>
      </c>
      <c r="E51">
        <v>195</v>
      </c>
      <c r="F51" t="s">
        <v>80</v>
      </c>
      <c r="G51">
        <v>1473</v>
      </c>
      <c r="H51">
        <v>105</v>
      </c>
      <c r="I51" t="s">
        <v>81</v>
      </c>
      <c r="J51">
        <v>1421</v>
      </c>
      <c r="K51">
        <v>214</v>
      </c>
      <c r="L51" t="s">
        <v>82</v>
      </c>
      <c r="M51">
        <v>1435</v>
      </c>
      <c r="N51">
        <v>102</v>
      </c>
      <c r="O51" t="s">
        <v>83</v>
      </c>
      <c r="P51">
        <v>1431</v>
      </c>
      <c r="Q51">
        <v>147</v>
      </c>
    </row>
    <row r="52" spans="1:42">
      <c r="A52" t="s">
        <v>349</v>
      </c>
      <c r="B52" t="s">
        <v>285</v>
      </c>
      <c r="C52" t="s">
        <v>286</v>
      </c>
      <c r="D52" s="2">
        <v>1544</v>
      </c>
      <c r="E52">
        <v>201</v>
      </c>
      <c r="F52" t="s">
        <v>287</v>
      </c>
      <c r="G52">
        <v>1574</v>
      </c>
      <c r="H52">
        <v>151</v>
      </c>
      <c r="I52" t="s">
        <v>288</v>
      </c>
      <c r="J52">
        <v>1622</v>
      </c>
      <c r="K52">
        <v>54</v>
      </c>
      <c r="L52" t="s">
        <v>289</v>
      </c>
      <c r="M52">
        <v>1622</v>
      </c>
      <c r="N52">
        <v>54</v>
      </c>
      <c r="O52" t="s">
        <v>332</v>
      </c>
      <c r="P52">
        <v>1636</v>
      </c>
      <c r="Q52">
        <v>52</v>
      </c>
    </row>
    <row r="53" spans="1:42">
      <c r="A53" t="s">
        <v>459</v>
      </c>
      <c r="C53" t="s">
        <v>460</v>
      </c>
      <c r="D53" s="2">
        <v>1520</v>
      </c>
      <c r="E53">
        <v>59</v>
      </c>
      <c r="F53" t="s">
        <v>461</v>
      </c>
      <c r="G53">
        <v>1521</v>
      </c>
      <c r="H53">
        <v>41</v>
      </c>
      <c r="I53" t="s">
        <v>462</v>
      </c>
      <c r="J53">
        <v>1483</v>
      </c>
      <c r="K53">
        <v>19</v>
      </c>
      <c r="L53" t="s">
        <v>463</v>
      </c>
      <c r="M53">
        <v>1521</v>
      </c>
      <c r="N53">
        <v>41</v>
      </c>
      <c r="O53" t="s">
        <v>464</v>
      </c>
      <c r="P53">
        <v>1516</v>
      </c>
      <c r="Q53">
        <v>41</v>
      </c>
    </row>
    <row r="54" spans="1:42">
      <c r="A54" t="s">
        <v>8</v>
      </c>
      <c r="B54" t="s">
        <v>9</v>
      </c>
      <c r="C54" t="s">
        <v>10</v>
      </c>
      <c r="D54" s="2">
        <v>1524</v>
      </c>
      <c r="E54">
        <v>213</v>
      </c>
      <c r="F54" t="s">
        <v>11</v>
      </c>
      <c r="G54">
        <v>1639</v>
      </c>
      <c r="H54">
        <v>253</v>
      </c>
      <c r="I54" t="s">
        <v>12</v>
      </c>
      <c r="J54">
        <v>1519</v>
      </c>
      <c r="K54">
        <v>209</v>
      </c>
      <c r="L54" t="s">
        <v>13</v>
      </c>
      <c r="M54">
        <v>1520</v>
      </c>
      <c r="N54">
        <v>149</v>
      </c>
      <c r="O54" t="s">
        <v>14</v>
      </c>
      <c r="P54">
        <v>1566</v>
      </c>
      <c r="Q54">
        <v>198</v>
      </c>
    </row>
    <row r="55" spans="1:42"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6" spans="3:48">
      <c r="D66"/>
    </row>
    <row r="67" spans="3:48">
      <c r="C67" s="3"/>
      <c r="D67"/>
    </row>
    <row r="68" spans="3:48">
      <c r="C68">
        <v>46</v>
      </c>
      <c r="D68" t="str">
        <f>INDEX(A1:A54,C68)</f>
        <v>Team Liquid</v>
      </c>
    </row>
    <row r="69" spans="3:48">
      <c r="C69">
        <v>28</v>
      </c>
      <c r="D69" t="str">
        <f>INDEX(A1:A54,C69)</f>
        <v>Kingzone DragonX</v>
      </c>
    </row>
    <row r="70" spans="3:48">
      <c r="D70"/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C74" t="s">
        <v>258</v>
      </c>
      <c r="D74">
        <v>1</v>
      </c>
    </row>
    <row r="75" spans="3:48">
      <c r="C75" t="s">
        <v>259</v>
      </c>
      <c r="D75">
        <f>IF(D74=1,1,IF(D74=2,3,5))</f>
        <v>1</v>
      </c>
      <c r="E75" t="s">
        <v>261</v>
      </c>
    </row>
    <row r="76" spans="3:48">
      <c r="C76" t="s">
        <v>260</v>
      </c>
      <c r="D76"/>
    </row>
    <row r="77" spans="3:48">
      <c r="D77"/>
    </row>
    <row r="78" spans="3:48">
      <c r="C78" t="s">
        <v>0</v>
      </c>
      <c r="D78">
        <f>E78</f>
        <v>68</v>
      </c>
      <c r="E78">
        <v>68</v>
      </c>
      <c r="K78" s="17"/>
    </row>
    <row r="79" spans="3:48">
      <c r="C79" t="s">
        <v>384</v>
      </c>
      <c r="D79" s="15">
        <f>IF($D$110=2,(Laskin!D12+D78)*E102,Laskin!D12+D78)</f>
        <v>1740.3999999999999</v>
      </c>
    </row>
    <row r="80" spans="3:48">
      <c r="C80" t="s">
        <v>385</v>
      </c>
      <c r="D80" s="15">
        <f>IF(D110=2,Laskin!D12*E102,Laskin!D12)</f>
        <v>1675.8</v>
      </c>
      <c r="I80" s="16" t="s">
        <v>265</v>
      </c>
      <c r="J80" s="17">
        <f>J83+J84</f>
        <v>0.12896914566170697</v>
      </c>
    </row>
    <row r="81" spans="3:10">
      <c r="C81" t="s">
        <v>386</v>
      </c>
      <c r="D81" s="15">
        <f>IF(D110=2,(Laskin!L12+D78)*F102,Laskin!L12+D78)</f>
        <v>1983</v>
      </c>
      <c r="I81" s="16" t="s">
        <v>266</v>
      </c>
      <c r="J81" s="17">
        <f>1-J80</f>
        <v>0.87103085433829297</v>
      </c>
    </row>
    <row r="82" spans="3:10">
      <c r="C82" t="s">
        <v>387</v>
      </c>
      <c r="D82" s="15">
        <f>IF(D110=2,Laskin!L12*F102,Laskin!L12)</f>
        <v>1915</v>
      </c>
      <c r="J82" s="17"/>
    </row>
    <row r="83" spans="3:10">
      <c r="I83" s="18" t="s">
        <v>271</v>
      </c>
      <c r="J83" s="17">
        <f>D85*D89</f>
        <v>3.9051044662124196E-2</v>
      </c>
    </row>
    <row r="84" spans="3:10">
      <c r="I84" s="18" t="s">
        <v>272</v>
      </c>
      <c r="J84" s="17">
        <f>D85*D88*D85+D86*D89*D85</f>
        <v>8.9918100999582765E-2</v>
      </c>
    </row>
    <row r="85" spans="3:10">
      <c r="C85" t="s">
        <v>262</v>
      </c>
      <c r="D85" s="3">
        <f>1/(1+(10^((D82-(D79))/400)))</f>
        <v>0.26794412106825272</v>
      </c>
      <c r="I85" s="18" t="s">
        <v>273</v>
      </c>
      <c r="J85" s="17">
        <f>1-J86-J83-J84</f>
        <v>0.24566717193379195</v>
      </c>
    </row>
    <row r="86" spans="3:10">
      <c r="C86" t="s">
        <v>263</v>
      </c>
      <c r="D86" s="3">
        <f>1-D85</f>
        <v>0.73205587893174728</v>
      </c>
      <c r="I86" s="18" t="s">
        <v>274</v>
      </c>
      <c r="J86" s="17">
        <f>D86*D88</f>
        <v>0.62536368240450113</v>
      </c>
    </row>
    <row r="87" spans="3:10">
      <c r="I87" s="19"/>
      <c r="J87" s="17">
        <f>SUM(J83:J86)</f>
        <v>1</v>
      </c>
    </row>
    <row r="88" spans="3:10">
      <c r="C88" t="s">
        <v>264</v>
      </c>
      <c r="D88" s="3">
        <f>1/(1+(10^((D80-(D81))/400)))</f>
        <v>0.85425675881062968</v>
      </c>
      <c r="J88" s="17"/>
    </row>
    <row r="89" spans="3:10">
      <c r="C89" t="s">
        <v>270</v>
      </c>
      <c r="D89" s="3">
        <f>1-D88</f>
        <v>0.14574324118937032</v>
      </c>
      <c r="J89" s="17"/>
    </row>
    <row r="93" spans="3:10">
      <c r="C93" t="str">
        <f>Laskin!E26</f>
        <v>win</v>
      </c>
      <c r="D93" s="3" t="str">
        <f>Laskin!K26</f>
        <v>lose</v>
      </c>
      <c r="E93">
        <f>IF(C93="win",1,0)</f>
        <v>1</v>
      </c>
      <c r="F93">
        <f>IF(D93="win",1,0)</f>
        <v>0</v>
      </c>
    </row>
    <row r="94" spans="3:10">
      <c r="C94" t="str">
        <f>Laskin!E27</f>
        <v>lose</v>
      </c>
      <c r="D94" s="3" t="str">
        <f>Laskin!K27</f>
        <v>win</v>
      </c>
      <c r="E94">
        <f t="shared" ref="E94:E97" si="0">IF(C94="win",1,0)</f>
        <v>0</v>
      </c>
      <c r="F94">
        <f t="shared" ref="F94:F97" si="1">IF(D94="win",1,0)</f>
        <v>1</v>
      </c>
    </row>
    <row r="95" spans="3:10">
      <c r="C95" t="str">
        <f>Laskin!E28</f>
        <v>lose</v>
      </c>
      <c r="D95" s="3" t="str">
        <f>Laskin!K28</f>
        <v>win</v>
      </c>
      <c r="E95">
        <f t="shared" si="0"/>
        <v>0</v>
      </c>
      <c r="F95">
        <f t="shared" si="1"/>
        <v>1</v>
      </c>
    </row>
    <row r="96" spans="3:10">
      <c r="C96" t="str">
        <f>Laskin!E29</f>
        <v>lose</v>
      </c>
      <c r="D96" s="3" t="str">
        <f>Laskin!K29</f>
        <v>win</v>
      </c>
      <c r="E96">
        <f t="shared" si="0"/>
        <v>0</v>
      </c>
      <c r="F96">
        <f t="shared" si="1"/>
        <v>1</v>
      </c>
    </row>
    <row r="97" spans="3:6">
      <c r="C97" t="str">
        <f>Laskin!E30</f>
        <v>lose</v>
      </c>
      <c r="D97" s="3" t="str">
        <f>Laskin!K30</f>
        <v>win</v>
      </c>
      <c r="E97">
        <f t="shared" si="0"/>
        <v>0</v>
      </c>
      <c r="F97">
        <f t="shared" si="1"/>
        <v>1</v>
      </c>
    </row>
    <row r="101" spans="3:6">
      <c r="C101" t="s">
        <v>504</v>
      </c>
      <c r="D101" s="3">
        <v>1</v>
      </c>
      <c r="E101">
        <v>3</v>
      </c>
      <c r="F101">
        <v>1</v>
      </c>
    </row>
    <row r="102" spans="3:6">
      <c r="C102" t="s">
        <v>505</v>
      </c>
      <c r="D102" s="3">
        <v>0.9</v>
      </c>
      <c r="E102">
        <f>INDEX($D$101:$D$108,E101)</f>
        <v>0.95</v>
      </c>
      <c r="F102">
        <f>INDEX($D$101:$D$108,F101)</f>
        <v>1</v>
      </c>
    </row>
    <row r="103" spans="3:6">
      <c r="C103" t="s">
        <v>506</v>
      </c>
      <c r="D103" s="3">
        <v>0.95</v>
      </c>
    </row>
    <row r="104" spans="3:6">
      <c r="C104" t="s">
        <v>507</v>
      </c>
      <c r="D104" s="3">
        <v>1</v>
      </c>
    </row>
    <row r="105" spans="3:6">
      <c r="C105" t="s">
        <v>508</v>
      </c>
      <c r="D105" s="3">
        <v>1</v>
      </c>
    </row>
    <row r="106" spans="3:6">
      <c r="C106" t="s">
        <v>509</v>
      </c>
      <c r="D106" s="3">
        <v>0.8</v>
      </c>
    </row>
    <row r="107" spans="3:6">
      <c r="C107" t="s">
        <v>510</v>
      </c>
      <c r="D107" s="3">
        <v>0.7</v>
      </c>
    </row>
    <row r="108" spans="3:6">
      <c r="C108" t="s">
        <v>511</v>
      </c>
      <c r="D108" s="3">
        <v>0.9</v>
      </c>
    </row>
    <row r="110" spans="3:6">
      <c r="C110" t="s">
        <v>512</v>
      </c>
      <c r="D110" s="3">
        <v>2</v>
      </c>
    </row>
    <row r="111" spans="3:6">
      <c r="C111" t="s">
        <v>513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6"/>
  <sheetViews>
    <sheetView tabSelected="1" topLeftCell="B1" zoomScale="85" zoomScaleNormal="85" workbookViewId="0">
      <selection activeCell="G8" sqref="G8"/>
    </sheetView>
  </sheetViews>
  <sheetFormatPr baseColWidth="10" defaultColWidth="10.83203125" defaultRowHeight="16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>
      <c r="D1" s="13" t="s">
        <v>0</v>
      </c>
      <c r="E1" s="13"/>
      <c r="F1" s="13"/>
      <c r="G1" s="108" t="s">
        <v>503</v>
      </c>
      <c r="H1" s="109" t="s">
        <v>503</v>
      </c>
      <c r="K1" s="14" t="s">
        <v>1</v>
      </c>
    </row>
    <row r="3" spans="2:16">
      <c r="G3" s="1">
        <f>Data!E102</f>
        <v>0.95</v>
      </c>
      <c r="H3" s="1">
        <f>Data!F102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VLOOKUP(Data!$D$68,Data!Excel_data,3,FALSE)</f>
        <v>Impact</v>
      </c>
      <c r="D6" s="84">
        <f>VLOOKUP(Data!$D$68,Data!Excel_data,4,FALSE)</f>
        <v>1780</v>
      </c>
      <c r="E6" s="8">
        <f>VLOOKUP(Data!$D$68,Data!Excel_data,5,FALSE)</f>
        <v>317</v>
      </c>
      <c r="F6" s="91"/>
      <c r="G6" s="91"/>
      <c r="H6" s="91"/>
      <c r="I6" s="36"/>
      <c r="J6" s="37" t="s">
        <v>250</v>
      </c>
      <c r="K6" s="7" t="str">
        <f>VLOOKUP(Data!$D$69,Data!Excel_data,3,FALSE)</f>
        <v>Khan</v>
      </c>
      <c r="L6" s="84">
        <f>VLOOKUP(Data!$D$69,Data!Excel_data,4,FALSE)</f>
        <v>1915</v>
      </c>
      <c r="M6" s="8">
        <f>VLOOKUP(Data!$D$69,Data!Excel_data,5,FALSE)</f>
        <v>106</v>
      </c>
      <c r="N6" s="91"/>
      <c r="O6" s="91"/>
      <c r="P6" s="91"/>
    </row>
    <row r="7" spans="2:16">
      <c r="B7" s="38" t="s">
        <v>251</v>
      </c>
      <c r="C7" s="9" t="str">
        <f>VLOOKUP(Data!$D$68,Data!Excel_data,6,FALSE)</f>
        <v>Xmithie</v>
      </c>
      <c r="D7" s="67">
        <f>VLOOKUP(Data!$D$68,Data!Excel_data,7,FALSE)</f>
        <v>1749</v>
      </c>
      <c r="E7" s="10">
        <f>VLOOKUP(Data!$D$68,Data!Excel_data,8,FALSE)</f>
        <v>340</v>
      </c>
      <c r="F7" s="91"/>
      <c r="G7" s="91"/>
      <c r="H7" s="91"/>
      <c r="I7" s="36"/>
      <c r="J7" s="38" t="s">
        <v>251</v>
      </c>
      <c r="K7" s="9" t="str">
        <f>VLOOKUP(Data!$D$69,Data!Excel_data,6,FALSE)</f>
        <v>Peanut</v>
      </c>
      <c r="L7" s="67">
        <f>VLOOKUP(Data!$D$69,Data!Excel_data,7,FALSE)</f>
        <v>1916</v>
      </c>
      <c r="M7" s="10">
        <f>VLOOKUP(Data!$D$69,Data!Excel_data,8,FALSE)</f>
        <v>272</v>
      </c>
      <c r="N7" s="91"/>
      <c r="O7" s="91"/>
      <c r="P7" s="91"/>
    </row>
    <row r="8" spans="2:16">
      <c r="B8" s="38" t="s">
        <v>252</v>
      </c>
      <c r="C8" s="9" t="str">
        <f>VLOOKUP(Data!$D$68,Data!Excel_data,9,FALSE)</f>
        <v>Pobelter</v>
      </c>
      <c r="D8" s="67">
        <f>VLOOKUP(Data!$D$68,Data!Excel_data,10,FALSE)</f>
        <v>1748</v>
      </c>
      <c r="E8" s="10">
        <f>VLOOKUP(Data!$D$68,Data!Excel_data,11,FALSE)</f>
        <v>333</v>
      </c>
      <c r="F8" s="91"/>
      <c r="G8" s="91"/>
      <c r="H8" s="91"/>
      <c r="I8" s="36"/>
      <c r="J8" s="38" t="s">
        <v>252</v>
      </c>
      <c r="K8" s="9" t="str">
        <f>VLOOKUP(Data!$D$69,Data!Excel_data,9,FALSE)</f>
        <v>Bdd</v>
      </c>
      <c r="L8" s="67">
        <f>VLOOKUP(Data!$D$69,Data!Excel_data,10,FALSE)</f>
        <v>1900</v>
      </c>
      <c r="M8" s="10">
        <f>VLOOKUP(Data!$D$69,Data!Excel_data,11,FALSE)</f>
        <v>167</v>
      </c>
      <c r="N8" s="91"/>
      <c r="O8" s="91"/>
      <c r="P8" s="91"/>
    </row>
    <row r="9" spans="2:16">
      <c r="B9" s="38" t="s">
        <v>253</v>
      </c>
      <c r="C9" s="9" t="str">
        <f>VLOOKUP(Data!$D$68,Data!Excel_data,12,FALSE)</f>
        <v>Doublelift</v>
      </c>
      <c r="D9" s="67">
        <f>VLOOKUP(Data!$D$68,Data!Excel_data,13,FALSE)</f>
        <v>1800</v>
      </c>
      <c r="E9" s="10">
        <f>VLOOKUP(Data!$D$68,Data!Excel_data,14,FALSE)</f>
        <v>351</v>
      </c>
      <c r="F9" s="91"/>
      <c r="G9" s="91"/>
      <c r="H9" s="91"/>
      <c r="I9" s="36"/>
      <c r="J9" s="38" t="s">
        <v>253</v>
      </c>
      <c r="K9" s="9" t="str">
        <f>VLOOKUP(Data!$D$69,Data!Excel_data,12,FALSE)</f>
        <v>PraY</v>
      </c>
      <c r="L9" s="67">
        <f>VLOOKUP(Data!$D$69,Data!Excel_data,13,FALSE)</f>
        <v>1922</v>
      </c>
      <c r="M9" s="10">
        <f>VLOOKUP(Data!$D$69,Data!Excel_data,14,FALSE)</f>
        <v>397</v>
      </c>
      <c r="N9" s="91"/>
      <c r="O9" s="91"/>
      <c r="P9" s="91"/>
    </row>
    <row r="10" spans="2:16">
      <c r="B10" s="39" t="s">
        <v>254</v>
      </c>
      <c r="C10" s="11" t="str">
        <f>VLOOKUP(Data!$D$68,Data!Excel_data,15,FALSE)</f>
        <v>Olleh</v>
      </c>
      <c r="D10" s="85">
        <f>VLOOKUP(Data!$D$68,Data!Excel_data,16,FALSE)</f>
        <v>1743</v>
      </c>
      <c r="E10" s="12">
        <f>VLOOKUP(Data!$D$68,Data!Excel_data,17,FALSE)</f>
        <v>181</v>
      </c>
      <c r="F10" s="91"/>
      <c r="G10" s="91"/>
      <c r="H10" s="91"/>
      <c r="I10" s="36"/>
      <c r="J10" s="39" t="s">
        <v>254</v>
      </c>
      <c r="K10" s="11" t="str">
        <f>VLOOKUP(Data!$D$69,Data!Excel_data,15,FALSE)</f>
        <v>GorillA</v>
      </c>
      <c r="L10" s="85">
        <f>VLOOKUP(Data!$D$69,Data!Excel_data,16,FALSE)</f>
        <v>1922</v>
      </c>
      <c r="M10" s="12">
        <f>VLOOKUP(Data!$D$69,Data!Excel_data,17,FALSE)</f>
        <v>393</v>
      </c>
      <c r="N10" s="91"/>
      <c r="O10" s="91"/>
      <c r="P10" s="91"/>
    </row>
    <row r="12" spans="2:16">
      <c r="C12" s="5" t="s">
        <v>275</v>
      </c>
      <c r="D12" s="6">
        <f>AVERAGE(D6:D10)</f>
        <v>1764</v>
      </c>
      <c r="E12" s="5"/>
      <c r="F12" s="6"/>
      <c r="K12" s="5" t="s">
        <v>275</v>
      </c>
      <c r="L12" s="6">
        <f>AVERAGE(L6:L10)</f>
        <v>1915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IF(Data!D75=1,Data!D85,IF(Data!D75=3,Data!J83+Data!J84,0))</f>
        <v>0.26794412106825272</v>
      </c>
      <c r="E15" s="78">
        <f>1/D15</f>
        <v>3.7321214438784889</v>
      </c>
      <c r="G15" s="4" t="s">
        <v>0</v>
      </c>
      <c r="H15" s="57">
        <f>Data!D78</f>
        <v>68</v>
      </c>
      <c r="J15" s="77">
        <f>IF(Data!D75=1,Data!D86,IF(Data!D75=3,Data!J81))</f>
        <v>0.73205587893174728</v>
      </c>
      <c r="K15" s="78">
        <f>1/J15</f>
        <v>1.366015940558049</v>
      </c>
      <c r="L15" s="41" t="s">
        <v>267</v>
      </c>
    </row>
    <row r="16" spans="2:16">
      <c r="C16" s="75" t="str">
        <f>IF(Data!D75=3,"+1.5","")</f>
        <v/>
      </c>
      <c r="D16" s="79" t="str">
        <f>IF(Data!D75=3,Data!J84+Data!J83+Data!J85,"")</f>
        <v/>
      </c>
      <c r="E16" s="20" t="str">
        <f>IF(D16&lt;&gt;"",1/D16,"")</f>
        <v/>
      </c>
      <c r="J16" s="79" t="str">
        <f>IF(Data!D75=3,Data!J85+Data!J86+Data!J84,"")</f>
        <v/>
      </c>
      <c r="K16" s="20" t="str">
        <f>IF(J16&lt;&gt;"",1/J16,"")</f>
        <v/>
      </c>
      <c r="L16" s="42" t="str">
        <f>IF(Data!D75=3,"+1.5","")</f>
        <v/>
      </c>
    </row>
    <row r="17" spans="1:13">
      <c r="C17" s="76" t="str">
        <f>IF(Data!D75=3,"-1.5","")</f>
        <v/>
      </c>
      <c r="D17" s="81" t="str">
        <f>IF(Data!D75=3,Data!J83,"")</f>
        <v/>
      </c>
      <c r="E17" s="82" t="str">
        <f>IF(D17&lt;&gt;"",1/D17,"")</f>
        <v/>
      </c>
      <c r="J17" s="81" t="str">
        <f>IF(Data!D75=3,Data!J86,"")</f>
        <v/>
      </c>
      <c r="K17" s="82" t="str">
        <f>IF(J17&lt;&gt;"",1/J17,"")</f>
        <v/>
      </c>
      <c r="L17" s="43" t="str">
        <f>IF(Data!D75=3,"-1.5","")</f>
        <v/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VLOOKUP(Data!$D$68,Data!Excel_data,2,FALSE)</f>
        <v>TL</v>
      </c>
      <c r="E19" s="88" t="str">
        <f>VLOOKUP(Data!$D$69,Data!Excel_data,2,FALSE)</f>
        <v>KZ</v>
      </c>
      <c r="J19" s="68" t="s">
        <v>268</v>
      </c>
      <c r="K19" s="68" t="s">
        <v>269</v>
      </c>
    </row>
    <row r="20" spans="1:13">
      <c r="C20" s="88" t="s">
        <v>389</v>
      </c>
      <c r="D20" s="72">
        <f>Data!D85</f>
        <v>0.26794412106825272</v>
      </c>
      <c r="E20" s="72">
        <f>Data!D86</f>
        <v>0.73205587893174728</v>
      </c>
      <c r="F20" s="73">
        <f>1/D20</f>
        <v>3.7321214438784889</v>
      </c>
      <c r="G20" s="73">
        <f>1/E20</f>
        <v>1.366015940558049</v>
      </c>
      <c r="I20" s="66" t="str">
        <f>IF(Data!D75=3,"Over 2,5","")</f>
        <v/>
      </c>
      <c r="J20" s="72" t="str">
        <f>IF(Data!D75=3,Data!J84+Data!J85,"")</f>
        <v/>
      </c>
      <c r="K20" s="73" t="str">
        <f>IF(J20&lt;&gt;"",1/J20,"")</f>
        <v/>
      </c>
    </row>
    <row r="21" spans="1:13">
      <c r="C21" s="88" t="s">
        <v>388</v>
      </c>
      <c r="D21" s="72">
        <f>Data!D89</f>
        <v>0.14574324118937032</v>
      </c>
      <c r="E21" s="72">
        <f>Data!D88</f>
        <v>0.85425675881062968</v>
      </c>
      <c r="F21" s="73">
        <f t="shared" ref="F21:F22" si="0">1/D21</f>
        <v>6.8613816451402911</v>
      </c>
      <c r="G21" s="73">
        <f>1/E21</f>
        <v>1.1706082389003123</v>
      </c>
      <c r="I21" s="66" t="str">
        <f>IF(Data!D75=3,"Under 2,5","")</f>
        <v/>
      </c>
      <c r="J21" s="72" t="str">
        <f>IF(Data!D75=3,Data!J86+Data!J83,"")</f>
        <v/>
      </c>
      <c r="K21" s="73" t="str">
        <f>IF(J21&lt;&gt;"",1/J21,"")</f>
        <v/>
      </c>
    </row>
    <row r="22" spans="1:13">
      <c r="C22" s="88" t="s">
        <v>390</v>
      </c>
      <c r="D22" s="72">
        <f>D20</f>
        <v>0.26794412106825272</v>
      </c>
      <c r="E22" s="72">
        <f>E20</f>
        <v>0.73205587893174728</v>
      </c>
      <c r="F22" s="73">
        <f t="shared" si="0"/>
        <v>3.7321214438784889</v>
      </c>
      <c r="G22" s="73">
        <f t="shared" ref="G22" si="1">1/E22</f>
        <v>1.366015940558049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1" t="str">
        <f>Data!D68&amp;" last 5 games:"</f>
        <v>Team Liquid last 5 games:</v>
      </c>
      <c r="D24" s="111"/>
      <c r="E24" s="111"/>
      <c r="F24" s="111"/>
      <c r="G24" s="111"/>
      <c r="I24" s="111" t="str">
        <f>Data!D69&amp;" last 5 games:"</f>
        <v>Kingzone DragonX last 5 games:</v>
      </c>
      <c r="J24" s="111"/>
      <c r="K24" s="111"/>
      <c r="L24" s="111"/>
      <c r="M24" s="111"/>
    </row>
    <row r="25" spans="1:13">
      <c r="A25" s="21"/>
      <c r="C25" s="121" t="s">
        <v>377</v>
      </c>
      <c r="D25" s="121"/>
      <c r="E25" s="68" t="s">
        <v>378</v>
      </c>
      <c r="F25" s="121" t="s">
        <v>379</v>
      </c>
      <c r="G25" s="121"/>
      <c r="I25" s="121" t="s">
        <v>377</v>
      </c>
      <c r="J25" s="121"/>
      <c r="K25" s="68" t="s">
        <v>378</v>
      </c>
      <c r="L25" s="121" t="s">
        <v>379</v>
      </c>
      <c r="M25" s="121"/>
    </row>
    <row r="26" spans="1:13">
      <c r="A26" s="21"/>
      <c r="C26" s="122" t="str">
        <f>VLOOKUP(Data!$D$68,Last_games!Team_last_game_data_1,14,FALSE)</f>
        <v>Impact,Xmithie,Pobelter,Doublelift,Olleh</v>
      </c>
      <c r="D26" s="122"/>
      <c r="E26" s="83" t="str">
        <f>VLOOKUP(Data!$D$68,Last_games!Team_last_game_data_1,15,FALSE)</f>
        <v>win</v>
      </c>
      <c r="F26" s="123" t="str">
        <f>VLOOKUP(Data!$D$68,Last_games!Team_last_game_data_1,16,FALSE)</f>
        <v>Royal Never Give Up</v>
      </c>
      <c r="G26" s="123"/>
      <c r="I26" s="122" t="str">
        <f>VLOOKUP(Data!$D$69,Last_games!Team_last_game_data_1,14,FALSE)</f>
        <v>Khan,Peanut,Bdd,PraY,GorillA</v>
      </c>
      <c r="J26" s="122"/>
      <c r="K26" s="83" t="str">
        <f>VLOOKUP(Data!$D$69,Last_games!Team_last_game_data_1,15,FALSE)</f>
        <v>lose</v>
      </c>
      <c r="L26" s="123" t="str">
        <f>VLOOKUP(Data!$D$69,Last_games!Team_last_game_data_1,16,FALSE)</f>
        <v>Fnatic</v>
      </c>
      <c r="M26" s="123"/>
    </row>
    <row r="27" spans="1:13">
      <c r="A27" s="21"/>
      <c r="C27" s="122" t="str">
        <f>VLOOKUP(Data!$D$68,Last_games!Team_last_game_data_1,11,FALSE)</f>
        <v>Impact,Xmithie,Pobelter,Doublelift,Joey</v>
      </c>
      <c r="D27" s="122"/>
      <c r="E27" s="83" t="str">
        <f>VLOOKUP(Data!$D$68,Last_games!Team_last_game_data_1,12,FALSE)</f>
        <v>lose</v>
      </c>
      <c r="F27" s="123" t="str">
        <f>VLOOKUP(Data!$D$68,Last_games!Team_last_game_data_1,13,FALSE)</f>
        <v>Flash Wolves</v>
      </c>
      <c r="G27" s="123"/>
      <c r="I27" s="122" t="str">
        <f>VLOOKUP(Data!$D$69,Last_games!Team_last_game_data_1,11,FALSE)</f>
        <v>Khan,Peanut,Bdd,PraY,GorillA</v>
      </c>
      <c r="J27" s="122"/>
      <c r="K27" s="83" t="str">
        <f>VLOOKUP(Data!$D$69,Last_games!Team_last_game_data_1,12,FALSE)</f>
        <v>win</v>
      </c>
      <c r="L27" s="123" t="str">
        <f>VLOOKUP(Data!$D$69,Last_games!Team_last_game_data_1,13,FALSE)</f>
        <v>EVOS Esports</v>
      </c>
      <c r="M27" s="123"/>
    </row>
    <row r="28" spans="1:13">
      <c r="A28" s="21"/>
      <c r="C28" s="122" t="str">
        <f>VLOOKUP(Data!$D$68,Last_games!Team_last_game_data_1,8,FALSE)</f>
        <v>Impact,Xmithie,Pobelter,Doublelift,Olleh</v>
      </c>
      <c r="D28" s="122"/>
      <c r="E28" s="83" t="str">
        <f>VLOOKUP(Data!$D$68,Last_games!Team_last_game_data_1,9,FALSE)</f>
        <v>lose</v>
      </c>
      <c r="F28" s="123" t="str">
        <f>VLOOKUP(Data!$D$68,Last_games!Team_last_game_data_1,10,FALSE)</f>
        <v>Fnatic</v>
      </c>
      <c r="G28" s="123"/>
      <c r="I28" s="122" t="str">
        <f>VLOOKUP(Data!$D$69,Last_games!Team_last_game_data_1,8,FALSE)</f>
        <v>Khan,Peanut,Bdd,PraY,GorillA</v>
      </c>
      <c r="J28" s="122"/>
      <c r="K28" s="83" t="str">
        <f>VLOOKUP(Data!$D$69,Last_games!Team_last_game_data_1,9,FALSE)</f>
        <v>win</v>
      </c>
      <c r="L28" s="123" t="str">
        <f>VLOOKUP(Data!$D$69,Last_games!Team_last_game_data_1,10,FALSE)</f>
        <v>Royal Never Give Up</v>
      </c>
      <c r="M28" s="123"/>
    </row>
    <row r="29" spans="1:13">
      <c r="A29" s="21"/>
      <c r="C29" s="122" t="str">
        <f>VLOOKUP(Data!$D$68,Last_games!Team_last_game_data_1,5,FALSE)</f>
        <v>Impact,Xmithie,Pobelter,Doublelift,Olleh</v>
      </c>
      <c r="D29" s="122"/>
      <c r="E29" s="83" t="str">
        <f>VLOOKUP(Data!$D$68,Last_games!Team_last_game_data_1,6,FALSE)</f>
        <v>lose</v>
      </c>
      <c r="F29" s="123" t="str">
        <f>VLOOKUP(Data!$D$68,Last_games!Team_last_game_data_1,7,FALSE)</f>
        <v>Kingzone DragonX</v>
      </c>
      <c r="G29" s="123"/>
      <c r="I29" s="122" t="str">
        <f>VLOOKUP(Data!$D$69,Last_games!Team_last_game_data_1,5,FALSE)</f>
        <v>Khan,Peanut,Bdd,PraY,GorillA</v>
      </c>
      <c r="J29" s="122"/>
      <c r="K29" s="83" t="str">
        <f>VLOOKUP(Data!$D$69,Last_games!Team_last_game_data_1,6,FALSE)</f>
        <v>win</v>
      </c>
      <c r="L29" s="123" t="str">
        <f>VLOOKUP(Data!$D$69,Last_games!Team_last_game_data_1,7,FALSE)</f>
        <v>Team Liquid</v>
      </c>
      <c r="M29" s="123"/>
    </row>
    <row r="30" spans="1:13">
      <c r="A30" s="21"/>
      <c r="C30" s="122" t="str">
        <f>VLOOKUP(Data!$D$68,Last_games!Team_last_game_data_1,2,FALSE)</f>
        <v>Impact,Xmithie,Pobelter,Doublelift,Olleh</v>
      </c>
      <c r="D30" s="122"/>
      <c r="E30" s="83" t="str">
        <f>VLOOKUP(Data!$D$68,Last_games!Team_last_game_data_1,3,FALSE)</f>
        <v>lose</v>
      </c>
      <c r="F30" s="123" t="str">
        <f>VLOOKUP(Data!$D$68,Last_games!Team_last_game_data_1,4,FALSE)</f>
        <v>EVOS Esports</v>
      </c>
      <c r="G30" s="123"/>
      <c r="I30" s="122" t="str">
        <f>VLOOKUP(Data!$D$69,Last_games!Team_last_game_data_1,2,FALSE)</f>
        <v>Khan,Peanut,Bdd,PraY,GorillA</v>
      </c>
      <c r="J30" s="122"/>
      <c r="K30" s="83" t="str">
        <f>VLOOKUP(Data!$D$69,Last_games!Team_last_game_data_1,3,FALSE)</f>
        <v>win</v>
      </c>
      <c r="L30" s="123" t="str">
        <f>VLOOKUP(Data!$D$69,Last_games!Team_last_game_data_1,4,FALSE)</f>
        <v>Afreeca Freecs</v>
      </c>
      <c r="M30" s="123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AH19"/>
  <sheetViews>
    <sheetView zoomScale="80" zoomScaleNormal="80" workbookViewId="0">
      <selection activeCell="J41" sqref="J41"/>
    </sheetView>
  </sheetViews>
  <sheetFormatPr baseColWidth="10" defaultColWidth="10.83203125" defaultRowHeight="16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395</v>
      </c>
      <c r="E2" s="94" t="s">
        <v>396</v>
      </c>
      <c r="F2" s="94" t="s">
        <v>397</v>
      </c>
      <c r="G2" s="94" t="s">
        <v>383</v>
      </c>
      <c r="H2" s="95" t="s">
        <v>398</v>
      </c>
      <c r="I2" s="92" t="s">
        <v>291</v>
      </c>
      <c r="J2" s="94" t="s">
        <v>395</v>
      </c>
      <c r="K2" s="94" t="s">
        <v>396</v>
      </c>
      <c r="L2" s="94" t="s">
        <v>397</v>
      </c>
      <c r="M2" s="94" t="s">
        <v>383</v>
      </c>
      <c r="N2" s="95" t="s">
        <v>398</v>
      </c>
      <c r="O2" s="92" t="s">
        <v>316</v>
      </c>
      <c r="P2" s="94" t="s">
        <v>395</v>
      </c>
      <c r="Q2" s="94" t="s">
        <v>396</v>
      </c>
      <c r="R2" s="94" t="s">
        <v>397</v>
      </c>
      <c r="S2" s="94" t="s">
        <v>383</v>
      </c>
      <c r="T2" s="95" t="s">
        <v>398</v>
      </c>
      <c r="U2" s="92" t="s">
        <v>317</v>
      </c>
      <c r="V2" s="94" t="s">
        <v>395</v>
      </c>
      <c r="W2" s="94" t="s">
        <v>396</v>
      </c>
      <c r="X2" s="94" t="s">
        <v>397</v>
      </c>
      <c r="Y2" s="94" t="s">
        <v>383</v>
      </c>
      <c r="Z2" s="95" t="s">
        <v>398</v>
      </c>
      <c r="AA2" s="92" t="s">
        <v>295</v>
      </c>
      <c r="AB2" s="94" t="s">
        <v>395</v>
      </c>
      <c r="AC2" s="94" t="s">
        <v>396</v>
      </c>
      <c r="AD2" s="94" t="s">
        <v>397</v>
      </c>
      <c r="AE2" s="94" t="s">
        <v>383</v>
      </c>
      <c r="AF2" s="95" t="s">
        <v>398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400</v>
      </c>
      <c r="AH15" s="100" t="e">
        <f>AVERAGE(AH3:AH12)</f>
        <v>#DIV/0!</v>
      </c>
    </row>
    <row r="16" spans="1:34">
      <c r="AG16" s="100" t="s">
        <v>399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AF16"/>
  <sheetViews>
    <sheetView workbookViewId="0">
      <selection activeCell="I19" sqref="I19"/>
    </sheetView>
  </sheetViews>
  <sheetFormatPr baseColWidth="10" defaultColWidth="11" defaultRowHeight="16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382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381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2018-05-13T12:53:22Z</dcterms:modified>
</cp:coreProperties>
</file>