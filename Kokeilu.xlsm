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25" codeName="{A93C3448-2578-E12B-C58C-25EFAD1D314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omi\Desktop\e-sports\"/>
    </mc:Choice>
  </mc:AlternateContent>
  <xr:revisionPtr revIDLastSave="0" documentId="13_ncr:1_{853ECE58-BE14-4073-9D18-8C865A159F06}" xr6:coauthVersionLast="34" xr6:coauthVersionMax="36" xr10:uidLastSave="{00000000-0000-0000-0000-000000000000}"/>
  <bookViews>
    <workbookView xWindow="6480" yWindow="435" windowWidth="21855" windowHeight="17565" tabRatio="500" activeTab="5" xr2:uid="{00000000-000D-0000-FFFF-FFFF00000000}"/>
  </bookViews>
  <sheets>
    <sheet name="Last_games" sheetId="8" r:id="rId1"/>
    <sheet name="Regions" sheetId="3" r:id="rId2"/>
    <sheet name="EU" sheetId="4" r:id="rId3"/>
    <sheet name="LCK" sheetId="7" r:id="rId4"/>
    <sheet name="Data" sheetId="2" r:id="rId5"/>
    <sheet name="Laskin" sheetId="1" r:id="rId6"/>
    <sheet name="NA" sheetId="5" r:id="rId7"/>
    <sheet name="LPL" sheetId="6" r:id="rId8"/>
  </sheets>
  <definedNames>
    <definedName name="_xlnm._FilterDatabase" localSheetId="4" hidden="1">Data!$A$131:$BB$145</definedName>
    <definedName name="_xlnm._FilterDatabase" localSheetId="2" hidden="1">EU!$A$2:$AD$12</definedName>
    <definedName name="_xlnm._FilterDatabase" localSheetId="3" hidden="1">LCK!$A$2:$AD$12</definedName>
    <definedName name="_xlnm._FilterDatabase" localSheetId="7" hidden="1">LPL!$A$2:$AD$16</definedName>
    <definedName name="_xlnm._FilterDatabase" localSheetId="6" hidden="1">NA!$A$2:$AH$12</definedName>
    <definedName name="EU_1" localSheetId="2">EU!$A$3:$AA$12</definedName>
    <definedName name="Excel_data" localSheetId="4">Data!$A$1:$Q$66</definedName>
    <definedName name="Kuva1">INDIRECT(Data!XEW81)</definedName>
    <definedName name="LCK_1" localSheetId="3">LCK!$A$3:$AA$11</definedName>
    <definedName name="LPL_1" localSheetId="7">LPL!$A$3:$AA$16</definedName>
    <definedName name="NA_1" localSheetId="6">NA!$A$3:$AA$12</definedName>
    <definedName name="Team_last_game_data_1" localSheetId="0">Last_games!$A$1:$P$66</definedName>
  </definedNames>
  <calcPr calcId="179021" concurrentCalc="0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87" i="2" l="1"/>
  <c r="D80" i="2"/>
  <c r="D6" i="1"/>
  <c r="D7" i="1"/>
  <c r="D8" i="1"/>
  <c r="D9" i="1"/>
  <c r="D10" i="1"/>
  <c r="D12" i="1"/>
  <c r="D91" i="2"/>
  <c r="D81" i="2"/>
  <c r="L6" i="1"/>
  <c r="L7" i="1"/>
  <c r="L8" i="1"/>
  <c r="L9" i="1"/>
  <c r="L10" i="1"/>
  <c r="L12" i="1"/>
  <c r="D94" i="2"/>
  <c r="D97" i="2"/>
  <c r="D92" i="2"/>
  <c r="D93" i="2"/>
  <c r="D100" i="2"/>
  <c r="D101" i="2"/>
  <c r="J95" i="2"/>
  <c r="D98" i="2"/>
  <c r="J96" i="2"/>
  <c r="D15" i="1"/>
  <c r="J92" i="2"/>
  <c r="J93" i="2"/>
  <c r="J15" i="1"/>
  <c r="J98" i="2"/>
  <c r="J97" i="2"/>
  <c r="J115" i="2"/>
  <c r="J114" i="2"/>
  <c r="I24" i="1"/>
  <c r="E114" i="2"/>
  <c r="D90" i="2"/>
  <c r="F114" i="2"/>
  <c r="H3" i="1"/>
  <c r="G3" i="1"/>
  <c r="AA19" i="4"/>
  <c r="T9" i="3"/>
  <c r="AF19" i="4"/>
  <c r="U9" i="3"/>
  <c r="AD19" i="4"/>
  <c r="AE19" i="4"/>
  <c r="V9" i="3"/>
  <c r="AA20" i="4"/>
  <c r="T10" i="3"/>
  <c r="AF20" i="4"/>
  <c r="U10" i="3"/>
  <c r="AD20" i="4"/>
  <c r="AE20" i="4"/>
  <c r="V10" i="3"/>
  <c r="AA21" i="4"/>
  <c r="T11" i="3"/>
  <c r="AF21" i="4"/>
  <c r="U11" i="3"/>
  <c r="AD21" i="4"/>
  <c r="AE21" i="4"/>
  <c r="V11" i="3"/>
  <c r="AA22" i="4"/>
  <c r="T12" i="3"/>
  <c r="AF22" i="4"/>
  <c r="U12" i="3"/>
  <c r="AD22" i="4"/>
  <c r="AE22" i="4"/>
  <c r="V12" i="3"/>
  <c r="AA23" i="4"/>
  <c r="T13" i="3"/>
  <c r="AF23" i="4"/>
  <c r="U13" i="3"/>
  <c r="AD23" i="4"/>
  <c r="AE23" i="4"/>
  <c r="V13" i="3"/>
  <c r="AA24" i="4"/>
  <c r="T14" i="3"/>
  <c r="AF24" i="4"/>
  <c r="U14" i="3"/>
  <c r="AD24" i="4"/>
  <c r="AE24" i="4"/>
  <c r="V14" i="3"/>
  <c r="AA25" i="4"/>
  <c r="T15" i="3"/>
  <c r="AF25" i="4"/>
  <c r="U15" i="3"/>
  <c r="AD25" i="4"/>
  <c r="AE25" i="4"/>
  <c r="V15" i="3"/>
  <c r="AA26" i="4"/>
  <c r="T16" i="3"/>
  <c r="AF26" i="4"/>
  <c r="U16" i="3"/>
  <c r="AD26" i="4"/>
  <c r="AE26" i="4"/>
  <c r="V16" i="3"/>
  <c r="AA27" i="4"/>
  <c r="T17" i="3"/>
  <c r="AF27" i="4"/>
  <c r="U17" i="3"/>
  <c r="AD27" i="4"/>
  <c r="AE27" i="4"/>
  <c r="V17" i="3"/>
  <c r="AD18" i="4"/>
  <c r="AE18" i="4"/>
  <c r="V8" i="3"/>
  <c r="AF18" i="4"/>
  <c r="U8" i="3"/>
  <c r="AA18" i="4"/>
  <c r="T8" i="3"/>
  <c r="U19" i="4"/>
  <c r="P9" i="3"/>
  <c r="Z19" i="4"/>
  <c r="Q9" i="3"/>
  <c r="X19" i="4"/>
  <c r="Y19" i="4"/>
  <c r="R9" i="3"/>
  <c r="U20" i="4"/>
  <c r="P10" i="3"/>
  <c r="Z20" i="4"/>
  <c r="Q10" i="3"/>
  <c r="X20" i="4"/>
  <c r="Y20" i="4"/>
  <c r="R10" i="3"/>
  <c r="U21" i="4"/>
  <c r="P11" i="3"/>
  <c r="Z21" i="4"/>
  <c r="Q11" i="3"/>
  <c r="X21" i="4"/>
  <c r="Y21" i="4"/>
  <c r="R11" i="3"/>
  <c r="U22" i="4"/>
  <c r="P12" i="3"/>
  <c r="Z22" i="4"/>
  <c r="Q12" i="3"/>
  <c r="X22" i="4"/>
  <c r="Y22" i="4"/>
  <c r="R12" i="3"/>
  <c r="U23" i="4"/>
  <c r="P13" i="3"/>
  <c r="Z23" i="4"/>
  <c r="Q13" i="3"/>
  <c r="X23" i="4"/>
  <c r="Y23" i="4"/>
  <c r="R13" i="3"/>
  <c r="U24" i="4"/>
  <c r="P14" i="3"/>
  <c r="Z24" i="4"/>
  <c r="Q14" i="3"/>
  <c r="X24" i="4"/>
  <c r="Y24" i="4"/>
  <c r="R14" i="3"/>
  <c r="U25" i="4"/>
  <c r="P15" i="3"/>
  <c r="Z25" i="4"/>
  <c r="Q15" i="3"/>
  <c r="X25" i="4"/>
  <c r="Y25" i="4"/>
  <c r="R15" i="3"/>
  <c r="U26" i="4"/>
  <c r="P16" i="3"/>
  <c r="Z26" i="4"/>
  <c r="Q16" i="3"/>
  <c r="X26" i="4"/>
  <c r="Y26" i="4"/>
  <c r="R16" i="3"/>
  <c r="U27" i="4"/>
  <c r="P17" i="3"/>
  <c r="Z27" i="4"/>
  <c r="Q17" i="3"/>
  <c r="X27" i="4"/>
  <c r="Y27" i="4"/>
  <c r="R17" i="3"/>
  <c r="X18" i="4"/>
  <c r="Y18" i="4"/>
  <c r="R8" i="3"/>
  <c r="Z18" i="4"/>
  <c r="Q8" i="3"/>
  <c r="U18" i="4"/>
  <c r="P8" i="3"/>
  <c r="O19" i="4"/>
  <c r="L9" i="3"/>
  <c r="T19" i="4"/>
  <c r="M9" i="3"/>
  <c r="R19" i="4"/>
  <c r="S19" i="4"/>
  <c r="N9" i="3"/>
  <c r="O20" i="4"/>
  <c r="L10" i="3"/>
  <c r="T20" i="4"/>
  <c r="M10" i="3"/>
  <c r="R20" i="4"/>
  <c r="S20" i="4"/>
  <c r="N10" i="3"/>
  <c r="O21" i="4"/>
  <c r="L11" i="3"/>
  <c r="T21" i="4"/>
  <c r="M11" i="3"/>
  <c r="R21" i="4"/>
  <c r="S21" i="4"/>
  <c r="N11" i="3"/>
  <c r="O22" i="4"/>
  <c r="L12" i="3"/>
  <c r="T22" i="4"/>
  <c r="M12" i="3"/>
  <c r="R22" i="4"/>
  <c r="S22" i="4"/>
  <c r="N12" i="3"/>
  <c r="O23" i="4"/>
  <c r="L13" i="3"/>
  <c r="T23" i="4"/>
  <c r="M13" i="3"/>
  <c r="R23" i="4"/>
  <c r="S23" i="4"/>
  <c r="N13" i="3"/>
  <c r="O24" i="4"/>
  <c r="L14" i="3"/>
  <c r="T24" i="4"/>
  <c r="M14" i="3"/>
  <c r="R24" i="4"/>
  <c r="S24" i="4"/>
  <c r="N14" i="3"/>
  <c r="O25" i="4"/>
  <c r="L15" i="3"/>
  <c r="T25" i="4"/>
  <c r="M15" i="3"/>
  <c r="R25" i="4"/>
  <c r="S25" i="4"/>
  <c r="N15" i="3"/>
  <c r="O26" i="4"/>
  <c r="L16" i="3"/>
  <c r="T26" i="4"/>
  <c r="M16" i="3"/>
  <c r="R26" i="4"/>
  <c r="S26" i="4"/>
  <c r="N16" i="3"/>
  <c r="O27" i="4"/>
  <c r="L17" i="3"/>
  <c r="T27" i="4"/>
  <c r="M17" i="3"/>
  <c r="R27" i="4"/>
  <c r="S27" i="4"/>
  <c r="N17" i="3"/>
  <c r="R18" i="4"/>
  <c r="S18" i="4"/>
  <c r="N8" i="3"/>
  <c r="T18" i="4"/>
  <c r="M8" i="3"/>
  <c r="O18" i="4"/>
  <c r="L8" i="3"/>
  <c r="I19" i="4"/>
  <c r="H9" i="3"/>
  <c r="N19" i="4"/>
  <c r="I9" i="3"/>
  <c r="L19" i="4"/>
  <c r="M19" i="4"/>
  <c r="J9" i="3"/>
  <c r="I20" i="4"/>
  <c r="H10" i="3"/>
  <c r="N20" i="4"/>
  <c r="I10" i="3"/>
  <c r="L20" i="4"/>
  <c r="M20" i="4"/>
  <c r="J10" i="3"/>
  <c r="I21" i="4"/>
  <c r="H11" i="3"/>
  <c r="N21" i="4"/>
  <c r="I11" i="3"/>
  <c r="L21" i="4"/>
  <c r="M21" i="4"/>
  <c r="J11" i="3"/>
  <c r="I22" i="4"/>
  <c r="H12" i="3"/>
  <c r="N22" i="4"/>
  <c r="I12" i="3"/>
  <c r="L22" i="4"/>
  <c r="M22" i="4"/>
  <c r="J12" i="3"/>
  <c r="I23" i="4"/>
  <c r="H13" i="3"/>
  <c r="N23" i="4"/>
  <c r="I13" i="3"/>
  <c r="L23" i="4"/>
  <c r="M23" i="4"/>
  <c r="J13" i="3"/>
  <c r="I24" i="4"/>
  <c r="H14" i="3"/>
  <c r="N24" i="4"/>
  <c r="I14" i="3"/>
  <c r="L24" i="4"/>
  <c r="M24" i="4"/>
  <c r="J14" i="3"/>
  <c r="I25" i="4"/>
  <c r="H15" i="3"/>
  <c r="N25" i="4"/>
  <c r="I15" i="3"/>
  <c r="L25" i="4"/>
  <c r="M25" i="4"/>
  <c r="J15" i="3"/>
  <c r="I26" i="4"/>
  <c r="H16" i="3"/>
  <c r="N26" i="4"/>
  <c r="I16" i="3"/>
  <c r="L26" i="4"/>
  <c r="M26" i="4"/>
  <c r="J16" i="3"/>
  <c r="I27" i="4"/>
  <c r="H17" i="3"/>
  <c r="N27" i="4"/>
  <c r="I17" i="3"/>
  <c r="L27" i="4"/>
  <c r="M27" i="4"/>
  <c r="J17" i="3"/>
  <c r="L18" i="4"/>
  <c r="M18" i="4"/>
  <c r="J8" i="3"/>
  <c r="N18" i="4"/>
  <c r="I8" i="3"/>
  <c r="I18" i="4"/>
  <c r="H8" i="3"/>
  <c r="H19" i="4"/>
  <c r="E9" i="3"/>
  <c r="F19" i="4"/>
  <c r="G19" i="4"/>
  <c r="F9" i="3"/>
  <c r="H20" i="4"/>
  <c r="E10" i="3"/>
  <c r="F20" i="4"/>
  <c r="G20" i="4"/>
  <c r="F10" i="3"/>
  <c r="H21" i="4"/>
  <c r="E11" i="3"/>
  <c r="F21" i="4"/>
  <c r="G21" i="4"/>
  <c r="F11" i="3"/>
  <c r="H22" i="4"/>
  <c r="E12" i="3"/>
  <c r="F22" i="4"/>
  <c r="G22" i="4"/>
  <c r="F12" i="3"/>
  <c r="H23" i="4"/>
  <c r="E13" i="3"/>
  <c r="F23" i="4"/>
  <c r="G23" i="4"/>
  <c r="F13" i="3"/>
  <c r="H24" i="4"/>
  <c r="E14" i="3"/>
  <c r="F24" i="4"/>
  <c r="G24" i="4"/>
  <c r="F14" i="3"/>
  <c r="H25" i="4"/>
  <c r="E15" i="3"/>
  <c r="F25" i="4"/>
  <c r="G25" i="4"/>
  <c r="F15" i="3"/>
  <c r="H26" i="4"/>
  <c r="E16" i="3"/>
  <c r="F26" i="4"/>
  <c r="G26" i="4"/>
  <c r="F16" i="3"/>
  <c r="H27" i="4"/>
  <c r="E17" i="3"/>
  <c r="F27" i="4"/>
  <c r="G27" i="4"/>
  <c r="F17" i="3"/>
  <c r="F18" i="4"/>
  <c r="G18" i="4"/>
  <c r="F8" i="3"/>
  <c r="H18" i="4"/>
  <c r="E8" i="3"/>
  <c r="AB22" i="4"/>
  <c r="AC22" i="4"/>
  <c r="AB19" i="4"/>
  <c r="AC19" i="4"/>
  <c r="AB18" i="4"/>
  <c r="AC18" i="4"/>
  <c r="AB26" i="4"/>
  <c r="AC26" i="4"/>
  <c r="AB27" i="4"/>
  <c r="AC27" i="4"/>
  <c r="AB24" i="4"/>
  <c r="AC24" i="4"/>
  <c r="AB25" i="4"/>
  <c r="AC25" i="4"/>
  <c r="AB20" i="4"/>
  <c r="AC20" i="4"/>
  <c r="AB23" i="4"/>
  <c r="AC23" i="4"/>
  <c r="AB21" i="4"/>
  <c r="AC21" i="4"/>
  <c r="V22" i="4"/>
  <c r="W22" i="4"/>
  <c r="V19" i="4"/>
  <c r="W19" i="4"/>
  <c r="V18" i="4"/>
  <c r="W18" i="4"/>
  <c r="V26" i="4"/>
  <c r="W26" i="4"/>
  <c r="V27" i="4"/>
  <c r="W27" i="4"/>
  <c r="V24" i="4"/>
  <c r="W24" i="4"/>
  <c r="V25" i="4"/>
  <c r="W25" i="4"/>
  <c r="V20" i="4"/>
  <c r="W20" i="4"/>
  <c r="V23" i="4"/>
  <c r="W23" i="4"/>
  <c r="V21" i="4"/>
  <c r="W21" i="4"/>
  <c r="P21" i="4"/>
  <c r="Q21" i="4"/>
  <c r="P22" i="4"/>
  <c r="Q22" i="4"/>
  <c r="P19" i="4"/>
  <c r="Q19" i="4"/>
  <c r="P18" i="4"/>
  <c r="Q18" i="4"/>
  <c r="P26" i="4"/>
  <c r="Q26" i="4"/>
  <c r="P27" i="4"/>
  <c r="Q27" i="4"/>
  <c r="P24" i="4"/>
  <c r="Q24" i="4"/>
  <c r="P25" i="4"/>
  <c r="Q25" i="4"/>
  <c r="P20" i="4"/>
  <c r="Q20" i="4"/>
  <c r="P23" i="4"/>
  <c r="Q23" i="4"/>
  <c r="J22" i="4"/>
  <c r="K22" i="4"/>
  <c r="J19" i="4"/>
  <c r="K19" i="4"/>
  <c r="J18" i="4"/>
  <c r="K18" i="4"/>
  <c r="J26" i="4"/>
  <c r="K26" i="4"/>
  <c r="J27" i="4"/>
  <c r="K27" i="4"/>
  <c r="J24" i="4"/>
  <c r="K24" i="4"/>
  <c r="J25" i="4"/>
  <c r="K25" i="4"/>
  <c r="J20" i="4"/>
  <c r="K20" i="4"/>
  <c r="J23" i="4"/>
  <c r="K23" i="4"/>
  <c r="J21" i="4"/>
  <c r="K21" i="4"/>
  <c r="B21" i="4"/>
  <c r="C21" i="4"/>
  <c r="D21" i="4"/>
  <c r="E21" i="4"/>
  <c r="B22" i="4"/>
  <c r="C22" i="4"/>
  <c r="D22" i="4"/>
  <c r="E22" i="4"/>
  <c r="B19" i="4"/>
  <c r="C19" i="4"/>
  <c r="D19" i="4"/>
  <c r="E19" i="4"/>
  <c r="B18" i="4"/>
  <c r="C18" i="4"/>
  <c r="D18" i="4"/>
  <c r="E18" i="4"/>
  <c r="B26" i="4"/>
  <c r="C26" i="4"/>
  <c r="D26" i="4"/>
  <c r="E26" i="4"/>
  <c r="B27" i="4"/>
  <c r="C27" i="4"/>
  <c r="D27" i="4"/>
  <c r="E27" i="4"/>
  <c r="B24" i="4"/>
  <c r="C24" i="4"/>
  <c r="D24" i="4"/>
  <c r="E24" i="4"/>
  <c r="B25" i="4"/>
  <c r="C25" i="4"/>
  <c r="D25" i="4"/>
  <c r="E25" i="4"/>
  <c r="B20" i="4"/>
  <c r="C20" i="4"/>
  <c r="D20" i="4"/>
  <c r="E20" i="4"/>
  <c r="B23" i="4"/>
  <c r="C23" i="4"/>
  <c r="D23" i="4"/>
  <c r="E23" i="4"/>
  <c r="A22" i="4"/>
  <c r="A19" i="4"/>
  <c r="A18" i="4"/>
  <c r="A26" i="4"/>
  <c r="A27" i="4"/>
  <c r="A24" i="4"/>
  <c r="A25" i="4"/>
  <c r="A20" i="4"/>
  <c r="A23" i="4"/>
  <c r="A21" i="4"/>
  <c r="T37" i="3"/>
  <c r="V37" i="3"/>
  <c r="T38" i="3"/>
  <c r="V38" i="3"/>
  <c r="T39" i="3"/>
  <c r="AF6" i="5"/>
  <c r="U39" i="3"/>
  <c r="V39" i="3"/>
  <c r="T40" i="3"/>
  <c r="AF7" i="5"/>
  <c r="U40" i="3"/>
  <c r="V40" i="3"/>
  <c r="T41" i="3"/>
  <c r="V41" i="3"/>
  <c r="T42" i="3"/>
  <c r="V42" i="3"/>
  <c r="T43" i="3"/>
  <c r="AF10" i="5"/>
  <c r="U43" i="3"/>
  <c r="V43" i="3"/>
  <c r="T44" i="3"/>
  <c r="AF11" i="5"/>
  <c r="U44" i="3"/>
  <c r="V44" i="3"/>
  <c r="T45" i="3"/>
  <c r="V45" i="3"/>
  <c r="V36" i="3"/>
  <c r="T36" i="3"/>
  <c r="P37" i="3"/>
  <c r="Q37" i="3"/>
  <c r="R37" i="3"/>
  <c r="P38" i="3"/>
  <c r="Q38" i="3"/>
  <c r="R38" i="3"/>
  <c r="P39" i="3"/>
  <c r="Q39" i="3"/>
  <c r="R39" i="3"/>
  <c r="P40" i="3"/>
  <c r="Q40" i="3"/>
  <c r="R40" i="3"/>
  <c r="P41" i="3"/>
  <c r="Q41" i="3"/>
  <c r="R41" i="3"/>
  <c r="P42" i="3"/>
  <c r="Q42" i="3"/>
  <c r="R42" i="3"/>
  <c r="P43" i="3"/>
  <c r="Q43" i="3"/>
  <c r="R43" i="3"/>
  <c r="P44" i="3"/>
  <c r="Q44" i="3"/>
  <c r="R44" i="3"/>
  <c r="P45" i="3"/>
  <c r="Q45" i="3"/>
  <c r="R45" i="3"/>
  <c r="R36" i="3"/>
  <c r="Q36" i="3"/>
  <c r="P36" i="3"/>
  <c r="L37" i="3"/>
  <c r="M37" i="3"/>
  <c r="N37" i="3"/>
  <c r="L38" i="3"/>
  <c r="M38" i="3"/>
  <c r="N38" i="3"/>
  <c r="L39" i="3"/>
  <c r="M39" i="3"/>
  <c r="N39" i="3"/>
  <c r="L40" i="3"/>
  <c r="M40" i="3"/>
  <c r="N40" i="3"/>
  <c r="L41" i="3"/>
  <c r="M41" i="3"/>
  <c r="N41" i="3"/>
  <c r="L42" i="3"/>
  <c r="M42" i="3"/>
  <c r="N42" i="3"/>
  <c r="L43" i="3"/>
  <c r="M43" i="3"/>
  <c r="N43" i="3"/>
  <c r="L44" i="3"/>
  <c r="M44" i="3"/>
  <c r="N44" i="3"/>
  <c r="L45" i="3"/>
  <c r="M45" i="3"/>
  <c r="N45" i="3"/>
  <c r="N36" i="3"/>
  <c r="M36" i="3"/>
  <c r="L36" i="3"/>
  <c r="H37" i="3"/>
  <c r="I37" i="3"/>
  <c r="J37" i="3"/>
  <c r="H38" i="3"/>
  <c r="I38" i="3"/>
  <c r="J38" i="3"/>
  <c r="H39" i="3"/>
  <c r="I39" i="3"/>
  <c r="J39" i="3"/>
  <c r="H40" i="3"/>
  <c r="I40" i="3"/>
  <c r="J40" i="3"/>
  <c r="H41" i="3"/>
  <c r="I41" i="3"/>
  <c r="J41" i="3"/>
  <c r="H42" i="3"/>
  <c r="I42" i="3"/>
  <c r="J42" i="3"/>
  <c r="H43" i="3"/>
  <c r="I43" i="3"/>
  <c r="J43" i="3"/>
  <c r="H44" i="3"/>
  <c r="I44" i="3"/>
  <c r="J44" i="3"/>
  <c r="H45" i="3"/>
  <c r="I45" i="3"/>
  <c r="J45" i="3"/>
  <c r="J36" i="3"/>
  <c r="I36" i="3"/>
  <c r="H36" i="3"/>
  <c r="E37" i="3"/>
  <c r="F37" i="3"/>
  <c r="E38" i="3"/>
  <c r="F38" i="3"/>
  <c r="E39" i="3"/>
  <c r="F39" i="3"/>
  <c r="E40" i="3"/>
  <c r="F40" i="3"/>
  <c r="E41" i="3"/>
  <c r="F41" i="3"/>
  <c r="E42" i="3"/>
  <c r="F42" i="3"/>
  <c r="E43" i="3"/>
  <c r="F43" i="3"/>
  <c r="E44" i="3"/>
  <c r="F44" i="3"/>
  <c r="E45" i="3"/>
  <c r="F45" i="3"/>
  <c r="F36" i="3"/>
  <c r="E36" i="3"/>
  <c r="AF12" i="5"/>
  <c r="U45" i="3"/>
  <c r="AH10" i="5"/>
  <c r="AF4" i="5"/>
  <c r="U37" i="3"/>
  <c r="AF3" i="5"/>
  <c r="U36" i="3"/>
  <c r="AF5" i="5"/>
  <c r="U38" i="3"/>
  <c r="AF8" i="5"/>
  <c r="U41" i="3"/>
  <c r="AF9" i="5"/>
  <c r="U42" i="3"/>
  <c r="AH4" i="5"/>
  <c r="AH6" i="5"/>
  <c r="AH8" i="5"/>
  <c r="AH12" i="5"/>
  <c r="AH11" i="5"/>
  <c r="AH3" i="5"/>
  <c r="F49" i="3"/>
  <c r="AH7" i="5"/>
  <c r="AH5" i="5"/>
  <c r="AH9" i="5"/>
  <c r="AH16" i="5"/>
  <c r="AH15" i="5"/>
  <c r="I50" i="3"/>
  <c r="AD5" i="4"/>
  <c r="AD7" i="4"/>
  <c r="AD6" i="4"/>
  <c r="AD4" i="4"/>
  <c r="AD11" i="4"/>
  <c r="AD3" i="4"/>
  <c r="AD10" i="4"/>
  <c r="AD9" i="4"/>
  <c r="AD8" i="4"/>
  <c r="AD12" i="4"/>
  <c r="D49" i="3"/>
  <c r="F30" i="3"/>
  <c r="F29" i="3"/>
  <c r="F22" i="3"/>
  <c r="F23" i="3"/>
  <c r="F26" i="3"/>
  <c r="F24" i="3"/>
  <c r="F28" i="3"/>
  <c r="F25" i="3"/>
  <c r="F27" i="3"/>
  <c r="F21" i="3"/>
  <c r="AH16" i="4"/>
  <c r="AH15" i="4"/>
  <c r="D27" i="3"/>
  <c r="D24" i="3"/>
  <c r="D23" i="3"/>
  <c r="D30" i="3"/>
  <c r="D22" i="3"/>
  <c r="D21" i="3"/>
  <c r="D28" i="3"/>
  <c r="D26" i="3"/>
  <c r="I22" i="3"/>
  <c r="D29" i="3"/>
  <c r="D25" i="3"/>
  <c r="H15" i="1"/>
  <c r="B9" i="3"/>
  <c r="B22" i="3"/>
  <c r="P22" i="3"/>
  <c r="AJ22" i="3"/>
  <c r="B10" i="3"/>
  <c r="B23" i="3"/>
  <c r="P23" i="3"/>
  <c r="AJ23" i="3"/>
  <c r="B11" i="3"/>
  <c r="B24" i="3"/>
  <c r="P24" i="3"/>
  <c r="AJ24" i="3"/>
  <c r="B12" i="3"/>
  <c r="B25" i="3"/>
  <c r="P25" i="3"/>
  <c r="AJ25" i="3"/>
  <c r="B13" i="3"/>
  <c r="B26" i="3"/>
  <c r="P26" i="3"/>
  <c r="AJ26" i="3"/>
  <c r="B14" i="3"/>
  <c r="B27" i="3"/>
  <c r="P27" i="3"/>
  <c r="AJ27" i="3"/>
  <c r="B15" i="3"/>
  <c r="B28" i="3"/>
  <c r="P28" i="3"/>
  <c r="AJ28" i="3"/>
  <c r="B16" i="3"/>
  <c r="B29" i="3"/>
  <c r="P29" i="3"/>
  <c r="AJ29" i="3"/>
  <c r="B17" i="3"/>
  <c r="B30" i="3"/>
  <c r="P30" i="3"/>
  <c r="AJ30" i="3"/>
  <c r="B8" i="3"/>
  <c r="B21" i="3"/>
  <c r="P21" i="3"/>
  <c r="AJ21" i="3"/>
  <c r="D9" i="3"/>
  <c r="AA9" i="3"/>
  <c r="AB9" i="3"/>
  <c r="AD9" i="3"/>
  <c r="AE9" i="3"/>
  <c r="AG9" i="3"/>
  <c r="AH9" i="3"/>
  <c r="AJ9" i="3"/>
  <c r="AK9" i="3"/>
  <c r="AM9" i="3"/>
  <c r="AN9" i="3"/>
  <c r="D10" i="3"/>
  <c r="AA10" i="3"/>
  <c r="AB10" i="3"/>
  <c r="AD10" i="3"/>
  <c r="AE10" i="3"/>
  <c r="AG10" i="3"/>
  <c r="AH10" i="3"/>
  <c r="AJ10" i="3"/>
  <c r="AK10" i="3"/>
  <c r="AM10" i="3"/>
  <c r="AN10" i="3"/>
  <c r="D11" i="3"/>
  <c r="AA11" i="3"/>
  <c r="AB11" i="3"/>
  <c r="AD11" i="3"/>
  <c r="AE11" i="3"/>
  <c r="AG11" i="3"/>
  <c r="AH11" i="3"/>
  <c r="AJ11" i="3"/>
  <c r="AK11" i="3"/>
  <c r="AM11" i="3"/>
  <c r="AN11" i="3"/>
  <c r="D12" i="3"/>
  <c r="AA12" i="3"/>
  <c r="AB12" i="3"/>
  <c r="AD12" i="3"/>
  <c r="AE12" i="3"/>
  <c r="AG12" i="3"/>
  <c r="AH12" i="3"/>
  <c r="AJ12" i="3"/>
  <c r="AK12" i="3"/>
  <c r="AM12" i="3"/>
  <c r="AN12" i="3"/>
  <c r="D13" i="3"/>
  <c r="AA13" i="3"/>
  <c r="AB13" i="3"/>
  <c r="AD13" i="3"/>
  <c r="AE13" i="3"/>
  <c r="AG13" i="3"/>
  <c r="AH13" i="3"/>
  <c r="AJ13" i="3"/>
  <c r="AK13" i="3"/>
  <c r="AM13" i="3"/>
  <c r="AN13" i="3"/>
  <c r="D14" i="3"/>
  <c r="AA14" i="3"/>
  <c r="AB14" i="3"/>
  <c r="AD14" i="3"/>
  <c r="AE14" i="3"/>
  <c r="AG14" i="3"/>
  <c r="AH14" i="3"/>
  <c r="AJ14" i="3"/>
  <c r="AK14" i="3"/>
  <c r="AM14" i="3"/>
  <c r="AN14" i="3"/>
  <c r="D15" i="3"/>
  <c r="AA15" i="3"/>
  <c r="AB15" i="3"/>
  <c r="AD15" i="3"/>
  <c r="AE15" i="3"/>
  <c r="AG15" i="3"/>
  <c r="AH15" i="3"/>
  <c r="AJ15" i="3"/>
  <c r="AK15" i="3"/>
  <c r="AM15" i="3"/>
  <c r="AN15" i="3"/>
  <c r="D16" i="3"/>
  <c r="AA16" i="3"/>
  <c r="AB16" i="3"/>
  <c r="AD16" i="3"/>
  <c r="AE16" i="3"/>
  <c r="AG16" i="3"/>
  <c r="AH16" i="3"/>
  <c r="AJ16" i="3"/>
  <c r="AK16" i="3"/>
  <c r="AM16" i="3"/>
  <c r="AN16" i="3"/>
  <c r="D17" i="3"/>
  <c r="AA17" i="3"/>
  <c r="AB17" i="3"/>
  <c r="AD17" i="3"/>
  <c r="AE17" i="3"/>
  <c r="AG17" i="3"/>
  <c r="AH17" i="3"/>
  <c r="AJ17" i="3"/>
  <c r="AK17" i="3"/>
  <c r="AM17" i="3"/>
  <c r="AN17" i="3"/>
  <c r="AM8" i="3"/>
  <c r="AJ8" i="3"/>
  <c r="AG8" i="3"/>
  <c r="AD8" i="3"/>
  <c r="D8" i="3"/>
  <c r="AA8" i="3"/>
  <c r="AN8" i="3"/>
  <c r="AK8" i="3"/>
  <c r="AH8" i="3"/>
  <c r="AE8" i="3"/>
  <c r="AB8" i="3"/>
  <c r="AC6" i="6"/>
  <c r="AC9" i="6"/>
  <c r="AC4" i="6"/>
  <c r="AC10" i="6"/>
  <c r="AC15" i="6"/>
  <c r="AC8" i="6"/>
  <c r="AC3" i="6"/>
  <c r="AC5" i="6"/>
  <c r="AC13" i="6"/>
  <c r="AC14" i="6"/>
  <c r="AC11" i="6"/>
  <c r="C114" i="3"/>
  <c r="AC16" i="6"/>
  <c r="AC7" i="6"/>
  <c r="AC12" i="6"/>
  <c r="Q101" i="3"/>
  <c r="U101" i="3"/>
  <c r="Q92" i="3"/>
  <c r="U92" i="3"/>
  <c r="Q93" i="3"/>
  <c r="U93" i="3"/>
  <c r="Q94" i="3"/>
  <c r="U94" i="3"/>
  <c r="Q95" i="3"/>
  <c r="U95" i="3"/>
  <c r="Q96" i="3"/>
  <c r="U96" i="3"/>
  <c r="Q97" i="3"/>
  <c r="U97" i="3"/>
  <c r="Q98" i="3"/>
  <c r="U98" i="3"/>
  <c r="Q99" i="3"/>
  <c r="U99" i="3"/>
  <c r="Q100" i="3"/>
  <c r="U100" i="3"/>
  <c r="Q102" i="3"/>
  <c r="U102" i="3"/>
  <c r="Q103" i="3"/>
  <c r="U103" i="3"/>
  <c r="Q104" i="3"/>
  <c r="U104" i="3"/>
  <c r="Q105" i="3"/>
  <c r="U105" i="3"/>
  <c r="L93" i="3"/>
  <c r="M93" i="3"/>
  <c r="N93" i="3"/>
  <c r="L94" i="3"/>
  <c r="M94" i="3"/>
  <c r="N94" i="3"/>
  <c r="L95" i="3"/>
  <c r="M95" i="3"/>
  <c r="N95" i="3"/>
  <c r="L96" i="3"/>
  <c r="M96" i="3"/>
  <c r="N96" i="3"/>
  <c r="L97" i="3"/>
  <c r="M97" i="3"/>
  <c r="N97" i="3"/>
  <c r="L98" i="3"/>
  <c r="M98" i="3"/>
  <c r="N98" i="3"/>
  <c r="L99" i="3"/>
  <c r="M99" i="3"/>
  <c r="N99" i="3"/>
  <c r="L100" i="3"/>
  <c r="M100" i="3"/>
  <c r="N100" i="3"/>
  <c r="L101" i="3"/>
  <c r="M101" i="3"/>
  <c r="N101" i="3"/>
  <c r="L102" i="3"/>
  <c r="M102" i="3"/>
  <c r="N102" i="3"/>
  <c r="L103" i="3"/>
  <c r="M103" i="3"/>
  <c r="N103" i="3"/>
  <c r="L104" i="3"/>
  <c r="M104" i="3"/>
  <c r="N104" i="3"/>
  <c r="L105" i="3"/>
  <c r="M105" i="3"/>
  <c r="N105" i="3"/>
  <c r="M92" i="3"/>
  <c r="N92" i="3"/>
  <c r="L92" i="3"/>
  <c r="T93" i="3"/>
  <c r="V93" i="3"/>
  <c r="T94" i="3"/>
  <c r="V94" i="3"/>
  <c r="T95" i="3"/>
  <c r="V95" i="3"/>
  <c r="T96" i="3"/>
  <c r="V96" i="3"/>
  <c r="T97" i="3"/>
  <c r="V97" i="3"/>
  <c r="T98" i="3"/>
  <c r="V98" i="3"/>
  <c r="T99" i="3"/>
  <c r="V99" i="3"/>
  <c r="T100" i="3"/>
  <c r="V100" i="3"/>
  <c r="T101" i="3"/>
  <c r="V101" i="3"/>
  <c r="T102" i="3"/>
  <c r="V102" i="3"/>
  <c r="T103" i="3"/>
  <c r="V103" i="3"/>
  <c r="T104" i="3"/>
  <c r="V104" i="3"/>
  <c r="T105" i="3"/>
  <c r="V105" i="3"/>
  <c r="V92" i="3"/>
  <c r="T92" i="3"/>
  <c r="P93" i="3"/>
  <c r="R93" i="3"/>
  <c r="P94" i="3"/>
  <c r="R94" i="3"/>
  <c r="P95" i="3"/>
  <c r="R95" i="3"/>
  <c r="P96" i="3"/>
  <c r="R96" i="3"/>
  <c r="P97" i="3"/>
  <c r="R97" i="3"/>
  <c r="P98" i="3"/>
  <c r="R98" i="3"/>
  <c r="P99" i="3"/>
  <c r="R99" i="3"/>
  <c r="P100" i="3"/>
  <c r="R100" i="3"/>
  <c r="P101" i="3"/>
  <c r="R101" i="3"/>
  <c r="P102" i="3"/>
  <c r="R102" i="3"/>
  <c r="P103" i="3"/>
  <c r="R103" i="3"/>
  <c r="P104" i="3"/>
  <c r="R104" i="3"/>
  <c r="P105" i="3"/>
  <c r="R105" i="3"/>
  <c r="R92" i="3"/>
  <c r="P92" i="3"/>
  <c r="H93" i="3"/>
  <c r="I93" i="3"/>
  <c r="J93" i="3"/>
  <c r="H94" i="3"/>
  <c r="I94" i="3"/>
  <c r="J94" i="3"/>
  <c r="H95" i="3"/>
  <c r="I95" i="3"/>
  <c r="J95" i="3"/>
  <c r="H96" i="3"/>
  <c r="I96" i="3"/>
  <c r="J96" i="3"/>
  <c r="H97" i="3"/>
  <c r="I97" i="3"/>
  <c r="J97" i="3"/>
  <c r="H98" i="3"/>
  <c r="I98" i="3"/>
  <c r="J98" i="3"/>
  <c r="H99" i="3"/>
  <c r="I99" i="3"/>
  <c r="J99" i="3"/>
  <c r="H100" i="3"/>
  <c r="I100" i="3"/>
  <c r="J100" i="3"/>
  <c r="H101" i="3"/>
  <c r="I101" i="3"/>
  <c r="J101" i="3"/>
  <c r="H102" i="3"/>
  <c r="I102" i="3"/>
  <c r="J102" i="3"/>
  <c r="H103" i="3"/>
  <c r="I103" i="3"/>
  <c r="J103" i="3"/>
  <c r="H104" i="3"/>
  <c r="I104" i="3"/>
  <c r="J104" i="3"/>
  <c r="H105" i="3"/>
  <c r="I105" i="3"/>
  <c r="J105" i="3"/>
  <c r="I92" i="3"/>
  <c r="J92" i="3"/>
  <c r="H92" i="3"/>
  <c r="C92" i="3"/>
  <c r="D92" i="3"/>
  <c r="E92" i="3"/>
  <c r="F92" i="3"/>
  <c r="C93" i="3"/>
  <c r="D93" i="3"/>
  <c r="E93" i="3"/>
  <c r="F93" i="3"/>
  <c r="C94" i="3"/>
  <c r="D94" i="3"/>
  <c r="E94" i="3"/>
  <c r="F94" i="3"/>
  <c r="C95" i="3"/>
  <c r="D95" i="3"/>
  <c r="E95" i="3"/>
  <c r="F95" i="3"/>
  <c r="C96" i="3"/>
  <c r="D96" i="3"/>
  <c r="E96" i="3"/>
  <c r="F96" i="3"/>
  <c r="C97" i="3"/>
  <c r="D97" i="3"/>
  <c r="E97" i="3"/>
  <c r="F97" i="3"/>
  <c r="C98" i="3"/>
  <c r="D98" i="3"/>
  <c r="E98" i="3"/>
  <c r="F98" i="3"/>
  <c r="C99" i="3"/>
  <c r="D99" i="3"/>
  <c r="E99" i="3"/>
  <c r="F99" i="3"/>
  <c r="C100" i="3"/>
  <c r="D100" i="3"/>
  <c r="E100" i="3"/>
  <c r="F100" i="3"/>
  <c r="C101" i="3"/>
  <c r="D101" i="3"/>
  <c r="E101" i="3"/>
  <c r="F101" i="3"/>
  <c r="C102" i="3"/>
  <c r="D102" i="3"/>
  <c r="E102" i="3"/>
  <c r="F102" i="3"/>
  <c r="C103" i="3"/>
  <c r="D103" i="3"/>
  <c r="E103" i="3"/>
  <c r="F103" i="3"/>
  <c r="C104" i="3"/>
  <c r="D104" i="3"/>
  <c r="E104" i="3"/>
  <c r="F104" i="3"/>
  <c r="C105" i="3"/>
  <c r="D105" i="3"/>
  <c r="E105" i="3"/>
  <c r="G105" i="3"/>
  <c r="F105" i="3"/>
  <c r="B105" i="3"/>
  <c r="B122" i="3"/>
  <c r="P122" i="3"/>
  <c r="B93" i="3"/>
  <c r="B110" i="3"/>
  <c r="P110" i="3"/>
  <c r="B94" i="3"/>
  <c r="B111" i="3"/>
  <c r="P111" i="3"/>
  <c r="B95" i="3"/>
  <c r="B112" i="3"/>
  <c r="P112" i="3"/>
  <c r="B96" i="3"/>
  <c r="B113" i="3"/>
  <c r="P113" i="3"/>
  <c r="B97" i="3"/>
  <c r="B114" i="3"/>
  <c r="P114" i="3"/>
  <c r="B98" i="3"/>
  <c r="B115" i="3"/>
  <c r="P115" i="3"/>
  <c r="B99" i="3"/>
  <c r="B116" i="3"/>
  <c r="P116" i="3"/>
  <c r="B100" i="3"/>
  <c r="B117" i="3"/>
  <c r="P117" i="3"/>
  <c r="B101" i="3"/>
  <c r="B118" i="3"/>
  <c r="P118" i="3"/>
  <c r="B102" i="3"/>
  <c r="B119" i="3"/>
  <c r="P119" i="3"/>
  <c r="B103" i="3"/>
  <c r="B120" i="3"/>
  <c r="P120" i="3"/>
  <c r="B104" i="3"/>
  <c r="B121" i="3"/>
  <c r="P121" i="3"/>
  <c r="B92" i="3"/>
  <c r="B109" i="3"/>
  <c r="P109" i="3"/>
  <c r="U64" i="3"/>
  <c r="V64" i="3"/>
  <c r="U65" i="3"/>
  <c r="V65" i="3"/>
  <c r="U66" i="3"/>
  <c r="V66" i="3"/>
  <c r="U67" i="3"/>
  <c r="V67" i="3"/>
  <c r="U68" i="3"/>
  <c r="V68" i="3"/>
  <c r="U69" i="3"/>
  <c r="V69" i="3"/>
  <c r="U70" i="3"/>
  <c r="V70" i="3"/>
  <c r="U71" i="3"/>
  <c r="V71" i="3"/>
  <c r="U72" i="3"/>
  <c r="V72" i="3"/>
  <c r="U73" i="3"/>
  <c r="V73" i="3"/>
  <c r="T65" i="3"/>
  <c r="T66" i="3"/>
  <c r="T67" i="3"/>
  <c r="T68" i="3"/>
  <c r="T69" i="3"/>
  <c r="T70" i="3"/>
  <c r="T71" i="3"/>
  <c r="T72" i="3"/>
  <c r="T73" i="3"/>
  <c r="T64" i="3"/>
  <c r="P65" i="3"/>
  <c r="Q65" i="3"/>
  <c r="R65" i="3"/>
  <c r="P66" i="3"/>
  <c r="Q66" i="3"/>
  <c r="R66" i="3"/>
  <c r="P67" i="3"/>
  <c r="Q67" i="3"/>
  <c r="R67" i="3"/>
  <c r="P68" i="3"/>
  <c r="Q68" i="3"/>
  <c r="R68" i="3"/>
  <c r="P69" i="3"/>
  <c r="Q69" i="3"/>
  <c r="R69" i="3"/>
  <c r="P70" i="3"/>
  <c r="Q70" i="3"/>
  <c r="R70" i="3"/>
  <c r="P71" i="3"/>
  <c r="Q71" i="3"/>
  <c r="R71" i="3"/>
  <c r="P72" i="3"/>
  <c r="Q72" i="3"/>
  <c r="R85" i="3"/>
  <c r="R72" i="3"/>
  <c r="P73" i="3"/>
  <c r="Q73" i="3"/>
  <c r="R73" i="3"/>
  <c r="Q64" i="3"/>
  <c r="R64" i="3"/>
  <c r="P64" i="3"/>
  <c r="L65" i="3"/>
  <c r="M65" i="3"/>
  <c r="N65" i="3"/>
  <c r="L66" i="3"/>
  <c r="M66" i="3"/>
  <c r="N66" i="3"/>
  <c r="L67" i="3"/>
  <c r="M67" i="3"/>
  <c r="N67" i="3"/>
  <c r="L68" i="3"/>
  <c r="M68" i="3"/>
  <c r="N68" i="3"/>
  <c r="L69" i="3"/>
  <c r="M69" i="3"/>
  <c r="N69" i="3"/>
  <c r="L70" i="3"/>
  <c r="M70" i="3"/>
  <c r="N70" i="3"/>
  <c r="L71" i="3"/>
  <c r="M71" i="3"/>
  <c r="N71" i="3"/>
  <c r="L72" i="3"/>
  <c r="M72" i="3"/>
  <c r="N72" i="3"/>
  <c r="L73" i="3"/>
  <c r="M73" i="3"/>
  <c r="N73" i="3"/>
  <c r="M64" i="3"/>
  <c r="N64" i="3"/>
  <c r="L64" i="3"/>
  <c r="H65" i="3"/>
  <c r="I65" i="3"/>
  <c r="J65" i="3"/>
  <c r="H66" i="3"/>
  <c r="I66" i="3"/>
  <c r="J66" i="3"/>
  <c r="H67" i="3"/>
  <c r="I67" i="3"/>
  <c r="J67" i="3"/>
  <c r="H68" i="3"/>
  <c r="I68" i="3"/>
  <c r="J68" i="3"/>
  <c r="H69" i="3"/>
  <c r="I69" i="3"/>
  <c r="J69" i="3"/>
  <c r="H70" i="3"/>
  <c r="I70" i="3"/>
  <c r="J70" i="3"/>
  <c r="H71" i="3"/>
  <c r="I71" i="3"/>
  <c r="J71" i="3"/>
  <c r="H72" i="3"/>
  <c r="I72" i="3"/>
  <c r="J72" i="3"/>
  <c r="H73" i="3"/>
  <c r="I73" i="3"/>
  <c r="J73" i="3"/>
  <c r="I64" i="3"/>
  <c r="J64" i="3"/>
  <c r="H64" i="3"/>
  <c r="B65" i="3"/>
  <c r="B78" i="3"/>
  <c r="P78" i="3"/>
  <c r="C65" i="3"/>
  <c r="D65" i="3"/>
  <c r="E65" i="3"/>
  <c r="F65" i="3"/>
  <c r="B66" i="3"/>
  <c r="B79" i="3"/>
  <c r="P79" i="3"/>
  <c r="C66" i="3"/>
  <c r="D66" i="3"/>
  <c r="E66" i="3"/>
  <c r="F66" i="3"/>
  <c r="B67" i="3"/>
  <c r="B80" i="3"/>
  <c r="P80" i="3"/>
  <c r="C67" i="3"/>
  <c r="D67" i="3"/>
  <c r="E67" i="3"/>
  <c r="F67" i="3"/>
  <c r="B68" i="3"/>
  <c r="B81" i="3"/>
  <c r="P81" i="3"/>
  <c r="C68" i="3"/>
  <c r="D68" i="3"/>
  <c r="E68" i="3"/>
  <c r="F68" i="3"/>
  <c r="B69" i="3"/>
  <c r="B82" i="3"/>
  <c r="P82" i="3"/>
  <c r="C69" i="3"/>
  <c r="D69" i="3"/>
  <c r="E69" i="3"/>
  <c r="F69" i="3"/>
  <c r="B70" i="3"/>
  <c r="B83" i="3"/>
  <c r="P83" i="3"/>
  <c r="C70" i="3"/>
  <c r="D70" i="3"/>
  <c r="E70" i="3"/>
  <c r="F70" i="3"/>
  <c r="B71" i="3"/>
  <c r="B84" i="3"/>
  <c r="P84" i="3"/>
  <c r="C71" i="3"/>
  <c r="D71" i="3"/>
  <c r="E71" i="3"/>
  <c r="F71" i="3"/>
  <c r="B72" i="3"/>
  <c r="B85" i="3"/>
  <c r="P85" i="3"/>
  <c r="C72" i="3"/>
  <c r="D72" i="3"/>
  <c r="E72" i="3"/>
  <c r="F72" i="3"/>
  <c r="B73" i="3"/>
  <c r="B86" i="3"/>
  <c r="P86" i="3"/>
  <c r="C73" i="3"/>
  <c r="D73" i="3"/>
  <c r="E73" i="3"/>
  <c r="F73" i="3"/>
  <c r="C64" i="3"/>
  <c r="D64" i="3"/>
  <c r="E64" i="3"/>
  <c r="F64" i="3"/>
  <c r="B64" i="3"/>
  <c r="B77" i="3"/>
  <c r="P77" i="3"/>
  <c r="R50" i="3"/>
  <c r="R52" i="3"/>
  <c r="R53" i="3"/>
  <c r="R54" i="3"/>
  <c r="R56" i="3"/>
  <c r="R57" i="3"/>
  <c r="R58" i="3"/>
  <c r="C36" i="3"/>
  <c r="D36" i="3"/>
  <c r="C37" i="3"/>
  <c r="D37" i="3"/>
  <c r="C38" i="3"/>
  <c r="D38" i="3"/>
  <c r="C39" i="3"/>
  <c r="D39" i="3"/>
  <c r="C40" i="3"/>
  <c r="D40" i="3"/>
  <c r="C41" i="3"/>
  <c r="D41" i="3"/>
  <c r="C42" i="3"/>
  <c r="D42" i="3"/>
  <c r="C43" i="3"/>
  <c r="D43" i="3"/>
  <c r="C44" i="3"/>
  <c r="D44" i="3"/>
  <c r="C45" i="3"/>
  <c r="D45" i="3"/>
  <c r="B37" i="3"/>
  <c r="B50" i="3"/>
  <c r="P50" i="3"/>
  <c r="B38" i="3"/>
  <c r="B51" i="3"/>
  <c r="P51" i="3"/>
  <c r="B39" i="3"/>
  <c r="B52" i="3"/>
  <c r="P52" i="3"/>
  <c r="B40" i="3"/>
  <c r="B53" i="3"/>
  <c r="P53" i="3"/>
  <c r="B41" i="3"/>
  <c r="B54" i="3"/>
  <c r="P54" i="3"/>
  <c r="B42" i="3"/>
  <c r="B55" i="3"/>
  <c r="P55" i="3"/>
  <c r="B43" i="3"/>
  <c r="B56" i="3"/>
  <c r="P56" i="3"/>
  <c r="B44" i="3"/>
  <c r="B57" i="3"/>
  <c r="P57" i="3"/>
  <c r="B45" i="3"/>
  <c r="B58" i="3"/>
  <c r="P58" i="3"/>
  <c r="B36" i="3"/>
  <c r="B49" i="3"/>
  <c r="P49" i="3"/>
  <c r="C9" i="3"/>
  <c r="C10" i="3"/>
  <c r="C11" i="3"/>
  <c r="C12" i="3"/>
  <c r="C13" i="3"/>
  <c r="C14" i="3"/>
  <c r="C15" i="3"/>
  <c r="C16" i="3"/>
  <c r="C17" i="3"/>
  <c r="C8" i="3"/>
  <c r="L30" i="1"/>
  <c r="L26" i="1"/>
  <c r="K27" i="1"/>
  <c r="D106" i="2"/>
  <c r="F106" i="2"/>
  <c r="I28" i="1"/>
  <c r="M10" i="1"/>
  <c r="M6" i="1"/>
  <c r="K9" i="1"/>
  <c r="K30" i="1"/>
  <c r="D109" i="2"/>
  <c r="F109" i="2"/>
  <c r="K26" i="1"/>
  <c r="D105" i="2"/>
  <c r="F105" i="2"/>
  <c r="I27" i="1"/>
  <c r="K8" i="1"/>
  <c r="L28" i="1"/>
  <c r="K29" i="1"/>
  <c r="I30" i="1"/>
  <c r="I26" i="1"/>
  <c r="E19" i="1"/>
  <c r="M8" i="1"/>
  <c r="K7" i="1"/>
  <c r="K28" i="1"/>
  <c r="D107" i="2"/>
  <c r="F107" i="2"/>
  <c r="K10" i="1"/>
  <c r="L29" i="1"/>
  <c r="M9" i="1"/>
  <c r="L27" i="1"/>
  <c r="I29" i="1"/>
  <c r="M7" i="1"/>
  <c r="K6" i="1"/>
  <c r="F29" i="1"/>
  <c r="E30" i="1"/>
  <c r="C109" i="2"/>
  <c r="E109" i="2"/>
  <c r="E26" i="1"/>
  <c r="C105" i="2"/>
  <c r="E105" i="2"/>
  <c r="C27" i="1"/>
  <c r="E7" i="1"/>
  <c r="C7" i="1"/>
  <c r="E29" i="1"/>
  <c r="C108" i="2"/>
  <c r="E108" i="2"/>
  <c r="C30" i="1"/>
  <c r="C26" i="1"/>
  <c r="E10" i="1"/>
  <c r="C10" i="1"/>
  <c r="C6" i="1"/>
  <c r="E28" i="1"/>
  <c r="C107" i="2"/>
  <c r="E107" i="2"/>
  <c r="C29" i="1"/>
  <c r="C9" i="1"/>
  <c r="F30" i="1"/>
  <c r="E27" i="1"/>
  <c r="C106" i="2"/>
  <c r="E106" i="2"/>
  <c r="D19" i="1"/>
  <c r="E8" i="1"/>
  <c r="F28" i="1"/>
  <c r="E6" i="1"/>
  <c r="F27" i="1"/>
  <c r="E9" i="1"/>
  <c r="F26" i="1"/>
  <c r="C28" i="1"/>
  <c r="C8" i="1"/>
  <c r="D108" i="2"/>
  <c r="F108" i="2"/>
  <c r="C24" i="1"/>
  <c r="C17" i="1"/>
  <c r="I21" i="1"/>
  <c r="I20" i="1"/>
  <c r="F57" i="3"/>
  <c r="D57" i="3"/>
  <c r="C112" i="3"/>
  <c r="R21" i="3"/>
  <c r="C16" i="1"/>
  <c r="L17" i="1"/>
  <c r="L16" i="1"/>
  <c r="R28" i="3"/>
  <c r="R22" i="3"/>
  <c r="W11" i="3"/>
  <c r="AO11" i="3"/>
  <c r="C115" i="3"/>
  <c r="W95" i="3"/>
  <c r="C122" i="3"/>
  <c r="C79" i="3"/>
  <c r="C86" i="3"/>
  <c r="F58" i="3"/>
  <c r="D58" i="3"/>
  <c r="C83" i="3"/>
  <c r="R86" i="3"/>
  <c r="R82" i="3"/>
  <c r="R78" i="3"/>
  <c r="F52" i="3"/>
  <c r="D52" i="3"/>
  <c r="W40" i="3"/>
  <c r="F55" i="3"/>
  <c r="D55" i="3"/>
  <c r="G104" i="3"/>
  <c r="G102" i="3"/>
  <c r="G97" i="3"/>
  <c r="G101" i="3"/>
  <c r="C85" i="3"/>
  <c r="C81" i="3"/>
  <c r="G99" i="3"/>
  <c r="G94" i="3"/>
  <c r="C116" i="3"/>
  <c r="C109" i="3"/>
  <c r="G100" i="3"/>
  <c r="G95" i="3"/>
  <c r="G98" i="3"/>
  <c r="G93" i="3"/>
  <c r="F53" i="3"/>
  <c r="D53" i="3"/>
  <c r="F51" i="3"/>
  <c r="D51" i="3"/>
  <c r="K44" i="3"/>
  <c r="O37" i="3"/>
  <c r="S104" i="3"/>
  <c r="R115" i="3"/>
  <c r="K104" i="3"/>
  <c r="R112" i="3"/>
  <c r="O72" i="3"/>
  <c r="S67" i="3"/>
  <c r="C77" i="3"/>
  <c r="C80" i="3"/>
  <c r="C113" i="3"/>
  <c r="C119" i="3"/>
  <c r="C117" i="3"/>
  <c r="C118" i="3"/>
  <c r="C120" i="3"/>
  <c r="C111" i="3"/>
  <c r="C110" i="3"/>
  <c r="F54" i="3"/>
  <c r="D54" i="3"/>
  <c r="F50" i="3"/>
  <c r="D50" i="3"/>
  <c r="G44" i="3"/>
  <c r="G40" i="3"/>
  <c r="G39" i="3"/>
  <c r="S42" i="3"/>
  <c r="S37" i="3"/>
  <c r="O44" i="3"/>
  <c r="O38" i="3"/>
  <c r="R49" i="3"/>
  <c r="G96" i="3"/>
  <c r="G103" i="3"/>
  <c r="G92" i="3"/>
  <c r="R120" i="3"/>
  <c r="R114" i="3"/>
  <c r="AD16" i="6"/>
  <c r="K97" i="3"/>
  <c r="O98" i="3"/>
  <c r="O105" i="3"/>
  <c r="R121" i="3"/>
  <c r="R111" i="3"/>
  <c r="S92" i="3"/>
  <c r="K101" i="3"/>
  <c r="G69" i="3"/>
  <c r="K69" i="3"/>
  <c r="K65" i="3"/>
  <c r="W67" i="3"/>
  <c r="O67" i="3"/>
  <c r="G73" i="3"/>
  <c r="R81" i="3"/>
  <c r="G65" i="3"/>
  <c r="S71" i="3"/>
  <c r="S64" i="3"/>
  <c r="R77" i="3"/>
  <c r="W71" i="3"/>
  <c r="G72" i="3"/>
  <c r="G66" i="3"/>
  <c r="K70" i="3"/>
  <c r="K66" i="3"/>
  <c r="O68" i="3"/>
  <c r="R83" i="3"/>
  <c r="S68" i="3"/>
  <c r="W73" i="3"/>
  <c r="R84" i="3"/>
  <c r="W69" i="3"/>
  <c r="R80" i="3"/>
  <c r="W68" i="3"/>
  <c r="K73" i="3"/>
  <c r="K94" i="3"/>
  <c r="O94" i="3"/>
  <c r="O103" i="3"/>
  <c r="O99" i="3"/>
  <c r="O95" i="3"/>
  <c r="W105" i="3"/>
  <c r="R116" i="3"/>
  <c r="S99" i="3"/>
  <c r="S93" i="3"/>
  <c r="AD14" i="6"/>
  <c r="R118" i="3"/>
  <c r="W100" i="3"/>
  <c r="W96" i="3"/>
  <c r="K37" i="3"/>
  <c r="W42" i="3"/>
  <c r="K40" i="3"/>
  <c r="S44" i="3"/>
  <c r="O45" i="3"/>
  <c r="W38" i="3"/>
  <c r="G42" i="3"/>
  <c r="O36" i="3"/>
  <c r="S40" i="3"/>
  <c r="G38" i="3"/>
  <c r="O41" i="3"/>
  <c r="W45" i="3"/>
  <c r="G16" i="3"/>
  <c r="AC16" i="3"/>
  <c r="G68" i="3"/>
  <c r="G64" i="3"/>
  <c r="K72" i="3"/>
  <c r="K68" i="3"/>
  <c r="O64" i="3"/>
  <c r="S70" i="3"/>
  <c r="S66" i="3"/>
  <c r="O71" i="3"/>
  <c r="O66" i="3"/>
  <c r="W64" i="3"/>
  <c r="W70" i="3"/>
  <c r="W65" i="3"/>
  <c r="C82" i="3"/>
  <c r="G71" i="3"/>
  <c r="G67" i="3"/>
  <c r="K71" i="3"/>
  <c r="K67" i="3"/>
  <c r="S73" i="3"/>
  <c r="S69" i="3"/>
  <c r="S65" i="3"/>
  <c r="O70" i="3"/>
  <c r="O65" i="3"/>
  <c r="W66" i="3"/>
  <c r="R79" i="3"/>
  <c r="G70" i="3"/>
  <c r="K64" i="3"/>
  <c r="S72" i="3"/>
  <c r="O73" i="3"/>
  <c r="O69" i="3"/>
  <c r="W72" i="3"/>
  <c r="K100" i="3"/>
  <c r="K96" i="3"/>
  <c r="K103" i="3"/>
  <c r="W92" i="3"/>
  <c r="O96" i="3"/>
  <c r="O104" i="3"/>
  <c r="S103" i="3"/>
  <c r="S97" i="3"/>
  <c r="W99" i="3"/>
  <c r="W93" i="3"/>
  <c r="AD3" i="6"/>
  <c r="AD5" i="6"/>
  <c r="AD12" i="6"/>
  <c r="R122" i="3"/>
  <c r="K99" i="3"/>
  <c r="K95" i="3"/>
  <c r="K102" i="3"/>
  <c r="O100" i="3"/>
  <c r="S101" i="3"/>
  <c r="S96" i="3"/>
  <c r="W103" i="3"/>
  <c r="W97" i="3"/>
  <c r="W104" i="3"/>
  <c r="AD9" i="6"/>
  <c r="AD11" i="6"/>
  <c r="AD4" i="6"/>
  <c r="K92" i="3"/>
  <c r="K98" i="3"/>
  <c r="O92" i="3"/>
  <c r="S105" i="3"/>
  <c r="S100" i="3"/>
  <c r="S95" i="3"/>
  <c r="W101" i="3"/>
  <c r="AD15" i="6"/>
  <c r="AD8" i="6"/>
  <c r="AD7" i="6"/>
  <c r="R119" i="3"/>
  <c r="R113" i="3"/>
  <c r="R110" i="3"/>
  <c r="G41" i="3"/>
  <c r="G37" i="3"/>
  <c r="K43" i="3"/>
  <c r="K39" i="3"/>
  <c r="O40" i="3"/>
  <c r="S36" i="3"/>
  <c r="S43" i="3"/>
  <c r="S39" i="3"/>
  <c r="W44" i="3"/>
  <c r="W39" i="3"/>
  <c r="W43" i="3"/>
  <c r="R55" i="3"/>
  <c r="R51" i="3"/>
  <c r="G45" i="3"/>
  <c r="K36" i="3"/>
  <c r="K42" i="3"/>
  <c r="K38" i="3"/>
  <c r="O43" i="3"/>
  <c r="O39" i="3"/>
  <c r="W36" i="3"/>
  <c r="S38" i="3"/>
  <c r="G43" i="3"/>
  <c r="K45" i="3"/>
  <c r="K41" i="3"/>
  <c r="O42" i="3"/>
  <c r="S45" i="3"/>
  <c r="S41" i="3"/>
  <c r="W41" i="3"/>
  <c r="W37" i="3"/>
  <c r="K17" i="3"/>
  <c r="AF17" i="3"/>
  <c r="G11" i="3"/>
  <c r="AC11" i="3"/>
  <c r="K10" i="3"/>
  <c r="AF10" i="3"/>
  <c r="G17" i="3"/>
  <c r="AC17" i="3"/>
  <c r="R29" i="3"/>
  <c r="S16" i="3"/>
  <c r="AL16" i="3"/>
  <c r="K15" i="3"/>
  <c r="AF15" i="3"/>
  <c r="W13" i="3"/>
  <c r="AO13" i="3"/>
  <c r="W15" i="3"/>
  <c r="AO15" i="3"/>
  <c r="W10" i="3"/>
  <c r="AO10" i="3"/>
  <c r="O9" i="3"/>
  <c r="AI9" i="3"/>
  <c r="S11" i="3"/>
  <c r="AL11" i="3"/>
  <c r="O14" i="3"/>
  <c r="AI14" i="3"/>
  <c r="O12" i="3"/>
  <c r="AI12" i="3"/>
  <c r="K14" i="3"/>
  <c r="AF14" i="3"/>
  <c r="K12" i="3"/>
  <c r="AF12" i="3"/>
  <c r="G13" i="3"/>
  <c r="AC13" i="3"/>
  <c r="G15" i="3"/>
  <c r="AC15" i="3"/>
  <c r="R30" i="3"/>
  <c r="R27" i="3"/>
  <c r="R25" i="3"/>
  <c r="S9" i="3"/>
  <c r="AL9" i="3"/>
  <c r="W17" i="3"/>
  <c r="AO17" i="3"/>
  <c r="S17" i="3"/>
  <c r="AL17" i="3"/>
  <c r="W16" i="3"/>
  <c r="AO16" i="3"/>
  <c r="K16" i="3"/>
  <c r="AF16" i="3"/>
  <c r="O15" i="3"/>
  <c r="AI15" i="3"/>
  <c r="S14" i="3"/>
  <c r="AL14" i="3"/>
  <c r="S12" i="3"/>
  <c r="AL12" i="3"/>
  <c r="G12" i="3"/>
  <c r="AC12" i="3"/>
  <c r="K11" i="3"/>
  <c r="AF11" i="3"/>
  <c r="O10" i="3"/>
  <c r="AI10" i="3"/>
  <c r="W9" i="3"/>
  <c r="AO9" i="3"/>
  <c r="S8" i="3"/>
  <c r="AL8" i="3"/>
  <c r="W8" i="3"/>
  <c r="AO8" i="3"/>
  <c r="S15" i="3"/>
  <c r="AL15" i="3"/>
  <c r="W14" i="3"/>
  <c r="AO14" i="3"/>
  <c r="O13" i="3"/>
  <c r="AI13" i="3"/>
  <c r="W12" i="3"/>
  <c r="AO12" i="3"/>
  <c r="O11" i="3"/>
  <c r="AI11" i="3"/>
  <c r="S10" i="3"/>
  <c r="AL10" i="3"/>
  <c r="R26" i="3"/>
  <c r="R24" i="3"/>
  <c r="R23" i="3"/>
  <c r="S13" i="3"/>
  <c r="AL13" i="3"/>
  <c r="F56" i="3"/>
  <c r="D56" i="3"/>
  <c r="G36" i="3"/>
  <c r="C84" i="3"/>
  <c r="O101" i="3"/>
  <c r="O97" i="3"/>
  <c r="O93" i="3"/>
  <c r="R117" i="3"/>
  <c r="W94" i="3"/>
  <c r="AD6" i="6"/>
  <c r="AD13" i="6"/>
  <c r="W102" i="3"/>
  <c r="W98" i="3"/>
  <c r="AD10" i="6"/>
  <c r="C78" i="3"/>
  <c r="K105" i="3"/>
  <c r="K93" i="3"/>
  <c r="O102" i="3"/>
  <c r="S102" i="3"/>
  <c r="R109" i="3"/>
  <c r="S94" i="3"/>
  <c r="S98" i="3"/>
  <c r="C121" i="3"/>
  <c r="AF3" i="6"/>
  <c r="K9" i="3"/>
  <c r="AF9" i="3"/>
  <c r="G9" i="3"/>
  <c r="AC9" i="3"/>
  <c r="G8" i="3"/>
  <c r="AC8" i="3"/>
  <c r="K8" i="3"/>
  <c r="AF8" i="3"/>
  <c r="O8" i="3"/>
  <c r="AI8" i="3"/>
  <c r="O17" i="3"/>
  <c r="AI17" i="3"/>
  <c r="O16" i="3"/>
  <c r="AI16" i="3"/>
  <c r="G14" i="3"/>
  <c r="AC14" i="3"/>
  <c r="K13" i="3"/>
  <c r="AF13" i="3"/>
  <c r="G10" i="3"/>
  <c r="AC10" i="3"/>
  <c r="D113" i="3"/>
  <c r="D86" i="3"/>
  <c r="C49" i="3"/>
  <c r="C54" i="3"/>
  <c r="C53" i="3"/>
  <c r="C57" i="3"/>
  <c r="C58" i="3"/>
  <c r="C52" i="3"/>
  <c r="C56" i="3"/>
  <c r="C50" i="3"/>
  <c r="C51" i="3"/>
  <c r="C55" i="3"/>
  <c r="E118" i="3"/>
  <c r="E122" i="3"/>
  <c r="E115" i="3"/>
  <c r="E110" i="3"/>
  <c r="E117" i="3"/>
  <c r="E114" i="3"/>
  <c r="E121" i="3"/>
  <c r="E111" i="3"/>
  <c r="E119" i="3"/>
  <c r="E109" i="3"/>
  <c r="E112" i="3"/>
  <c r="E120" i="3"/>
  <c r="E113" i="3"/>
  <c r="E116" i="3"/>
  <c r="E86" i="3"/>
  <c r="E78" i="3"/>
  <c r="E85" i="3"/>
  <c r="E82" i="3"/>
  <c r="E80" i="3"/>
  <c r="E77" i="3"/>
  <c r="E83" i="3"/>
  <c r="E84" i="3"/>
  <c r="E81" i="3"/>
  <c r="E79" i="3"/>
  <c r="S77" i="3"/>
  <c r="S80" i="3"/>
  <c r="S85" i="3"/>
  <c r="C25" i="3"/>
  <c r="S57" i="3"/>
  <c r="S49" i="3"/>
  <c r="S86" i="3"/>
  <c r="S84" i="3"/>
  <c r="D81" i="3"/>
  <c r="D84" i="3"/>
  <c r="D78" i="3"/>
  <c r="S82" i="3"/>
  <c r="S121" i="3"/>
  <c r="S55" i="3"/>
  <c r="S50" i="3"/>
  <c r="C24" i="3"/>
  <c r="C23" i="3"/>
  <c r="S78" i="3"/>
  <c r="S79" i="3"/>
  <c r="S81" i="3"/>
  <c r="S83" i="3"/>
  <c r="S52" i="3"/>
  <c r="S56" i="3"/>
  <c r="S54" i="3"/>
  <c r="S51" i="3"/>
  <c r="S53" i="3"/>
  <c r="S58" i="3"/>
  <c r="C22" i="3"/>
  <c r="C29" i="3"/>
  <c r="C26" i="3"/>
  <c r="C30" i="3"/>
  <c r="AK23" i="3"/>
  <c r="C28" i="3"/>
  <c r="C21" i="3"/>
  <c r="C27" i="3"/>
  <c r="S28" i="3"/>
  <c r="AK25" i="3"/>
  <c r="AK29" i="3"/>
  <c r="AK21" i="3"/>
  <c r="S24" i="3"/>
  <c r="S29" i="3"/>
  <c r="AK24" i="3"/>
  <c r="AK27" i="3"/>
  <c r="AK30" i="3"/>
  <c r="S26" i="3"/>
  <c r="S25" i="3"/>
  <c r="AK26" i="3"/>
  <c r="AK22" i="3"/>
  <c r="AK28" i="3"/>
  <c r="S22" i="3"/>
  <c r="S21" i="3"/>
  <c r="S23" i="3"/>
  <c r="S27" i="3"/>
  <c r="S30" i="3"/>
  <c r="S122" i="3"/>
  <c r="S117" i="3"/>
  <c r="S114" i="3"/>
  <c r="S113" i="3"/>
  <c r="D83" i="3"/>
  <c r="S115" i="3"/>
  <c r="D117" i="3"/>
  <c r="D115" i="3"/>
  <c r="D110" i="3"/>
  <c r="D114" i="3"/>
  <c r="D111" i="3"/>
  <c r="S119" i="3"/>
  <c r="D85" i="3"/>
  <c r="D80" i="3"/>
  <c r="D116" i="3"/>
  <c r="S116" i="3"/>
  <c r="D122" i="3"/>
  <c r="D112" i="3"/>
  <c r="D79" i="3"/>
  <c r="S110" i="3"/>
  <c r="D118" i="3"/>
  <c r="D82" i="3"/>
  <c r="D119" i="3"/>
  <c r="S109" i="3"/>
  <c r="S118" i="3"/>
  <c r="S112" i="3"/>
  <c r="S120" i="3"/>
  <c r="D121" i="3"/>
  <c r="D120" i="3"/>
  <c r="D77" i="3"/>
  <c r="S111" i="3"/>
  <c r="D109" i="3"/>
  <c r="AL23" i="3"/>
  <c r="AL21" i="3"/>
  <c r="AL24" i="3"/>
  <c r="AL28" i="3"/>
  <c r="AL29" i="3"/>
  <c r="AL30" i="3"/>
  <c r="AL25" i="3"/>
  <c r="AL27" i="3"/>
  <c r="AL22" i="3"/>
  <c r="AL26" i="3"/>
  <c r="E20" i="1"/>
  <c r="E21" i="1"/>
  <c r="G21" i="1"/>
  <c r="D20" i="1"/>
  <c r="J17" i="1"/>
  <c r="K17" i="1"/>
  <c r="D21" i="1"/>
  <c r="F21" i="1"/>
  <c r="F20" i="1"/>
  <c r="D22" i="1"/>
  <c r="F22" i="1"/>
  <c r="G20" i="1"/>
  <c r="E22" i="1"/>
  <c r="G22" i="1"/>
  <c r="D17" i="1"/>
  <c r="E17" i="1"/>
  <c r="K15" i="1"/>
  <c r="E15" i="1"/>
  <c r="J21" i="1"/>
  <c r="K21" i="1"/>
  <c r="J16" i="1"/>
  <c r="K16" i="1"/>
  <c r="J99" i="2"/>
  <c r="J20" i="1"/>
  <c r="K20" i="1"/>
  <c r="D16" i="1"/>
  <c r="E16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EU" type="6" refreshedVersion="6" deleted="1" background="1" saveData="1">
    <textPr fileType="mac" sourceFile="/Users/Grona/Desktop/Laskuri2018/Excel data/EU.csv" decimal="," thousands=" 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xr16:uid="{00000000-0015-0000-FFFF-FFFF01000000}" name="Excel_data" type="6" refreshedVersion="6" background="1" saveData="1">
    <textPr prompt="0" codePage="850" sourceFile="C:\Users\tomi\Desktop\e-sports\Excel data\Excel_data.csv" decimal="," thousands=" 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xr16:uid="{00000000-0015-0000-FFFF-FFFF02000000}" name="LCK" type="6" refreshedVersion="6" deleted="1" background="1" saveData="1">
    <textPr fileType="mac" sourceFile="/Users/Grona/Desktop/Laskuri2018/Excel data/LCK.csv" decimal="," thousands=" " tab="0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" xr16:uid="{00000000-0015-0000-FFFF-FFFF03000000}" name="LPL" type="6" refreshedVersion="6" deleted="1" background="1" saveData="1">
    <textPr fileType="mac" sourceFile="/Users/Grona/Desktop/Laskuri2018/Excel data/LPL.csv" decimal="," thousands=" 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" xr16:uid="{00000000-0015-0000-FFFF-FFFF04000000}" name="NA" type="6" refreshedVersion="6" deleted="1" background="1" saveData="1">
    <textPr fileType="mac" sourceFile="/Users/Grona/Desktop/Laskuri2018/Excel data/NA.csv" decimal="," thousands=" " comma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" xr16:uid="{00000000-0015-0000-FFFF-FFFF05000000}" name="Team_last_game_data" type="6" refreshedVersion="6" background="1" saveData="1">
    <textPr prompt="0" codePage="850" sourceFile="C:\Users\tomi\Desktop\e-sports\Excel data\Team_last_game_data.csv" decimal="," thousands=" " comma="1">
      <textFields count="16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<sst xmlns="http://schemas.openxmlformats.org/spreadsheetml/2006/main" count="2164" uniqueCount="680">
  <si>
    <t>Blue</t>
  </si>
  <si>
    <t>Red</t>
  </si>
  <si>
    <t>Jin Air Green Wings</t>
  </si>
  <si>
    <t>JAG</t>
  </si>
  <si>
    <t>SoHwan</t>
  </si>
  <si>
    <t>UmTi</t>
  </si>
  <si>
    <t>Teddy</t>
  </si>
  <si>
    <t>Wraith</t>
  </si>
  <si>
    <t>bbq Olivers</t>
  </si>
  <si>
    <t>bbq</t>
  </si>
  <si>
    <t>Crazy</t>
  </si>
  <si>
    <t>Trick</t>
  </si>
  <si>
    <t>Tempt</t>
  </si>
  <si>
    <t>Ghost</t>
  </si>
  <si>
    <t>IgNar</t>
  </si>
  <si>
    <t>Royal Never Give Up</t>
  </si>
  <si>
    <t>LetMe</t>
  </si>
  <si>
    <t>Karsa</t>
  </si>
  <si>
    <t>xiaohu</t>
  </si>
  <si>
    <t>Y4</t>
  </si>
  <si>
    <t>Ming</t>
  </si>
  <si>
    <t>CLG</t>
  </si>
  <si>
    <t>Darshan</t>
  </si>
  <si>
    <t>Reignover</t>
  </si>
  <si>
    <t>Huhi</t>
  </si>
  <si>
    <t>Stixxay</t>
  </si>
  <si>
    <t>Biofrost</t>
  </si>
  <si>
    <t>KT Rolster</t>
  </si>
  <si>
    <t>KT</t>
  </si>
  <si>
    <t>Smeb</t>
  </si>
  <si>
    <t>Score</t>
  </si>
  <si>
    <t>PawN</t>
  </si>
  <si>
    <t>Deft</t>
  </si>
  <si>
    <t>Mata</t>
  </si>
  <si>
    <t>FC Schalke 04</t>
  </si>
  <si>
    <t>S04</t>
  </si>
  <si>
    <t>Vizicsacsi</t>
  </si>
  <si>
    <t>Pridestalker</t>
  </si>
  <si>
    <t>Nukeduck</t>
  </si>
  <si>
    <t>UpseT</t>
  </si>
  <si>
    <t>VandeR</t>
  </si>
  <si>
    <t>Bilibili Gaming</t>
  </si>
  <si>
    <t>BLG</t>
  </si>
  <si>
    <t>AmazingJ</t>
  </si>
  <si>
    <t>Sks</t>
  </si>
  <si>
    <t>Athena</t>
  </si>
  <si>
    <t>jinjiao</t>
  </si>
  <si>
    <t>Giants Gaming</t>
  </si>
  <si>
    <t>GIA</t>
  </si>
  <si>
    <t>Ruin</t>
  </si>
  <si>
    <t>Djoko</t>
  </si>
  <si>
    <t>Betsy</t>
  </si>
  <si>
    <t>Steeelback</t>
  </si>
  <si>
    <t>Targamas</t>
  </si>
  <si>
    <t>LGD Gaming</t>
  </si>
  <si>
    <t>LGD</t>
  </si>
  <si>
    <t>Jinoo</t>
  </si>
  <si>
    <t>Eimy</t>
  </si>
  <si>
    <t>imp</t>
  </si>
  <si>
    <t>Pyl</t>
  </si>
  <si>
    <t>H2k-Gaming</t>
  </si>
  <si>
    <t>H2k</t>
  </si>
  <si>
    <t>SmittyJ</t>
  </si>
  <si>
    <t>Santorin</t>
  </si>
  <si>
    <t>Caedrel</t>
  </si>
  <si>
    <t>Sheriff</t>
  </si>
  <si>
    <t>100 Thieves</t>
  </si>
  <si>
    <t>ssumday</t>
  </si>
  <si>
    <t>Meteos</t>
  </si>
  <si>
    <t>Ryu</t>
  </si>
  <si>
    <t>Cody Sun</t>
  </si>
  <si>
    <t>Aphromoo</t>
  </si>
  <si>
    <t>SNG</t>
  </si>
  <si>
    <t>XiaoAL</t>
  </si>
  <si>
    <t>Tian</t>
  </si>
  <si>
    <t>Knight</t>
  </si>
  <si>
    <t>Fury</t>
  </si>
  <si>
    <t>Yoon</t>
  </si>
  <si>
    <t>Vici Gaming</t>
  </si>
  <si>
    <t>VG</t>
  </si>
  <si>
    <t>Crash</t>
  </si>
  <si>
    <t>Easyhoon</t>
  </si>
  <si>
    <t>Martin</t>
  </si>
  <si>
    <t>Caveman</t>
  </si>
  <si>
    <t>FunPlus Phoenix</t>
  </si>
  <si>
    <t>FPX</t>
  </si>
  <si>
    <t>Lwx</t>
  </si>
  <si>
    <t>Crisp</t>
  </si>
  <si>
    <t>Team ROCCAT</t>
  </si>
  <si>
    <t>ROC</t>
  </si>
  <si>
    <t>Profit</t>
  </si>
  <si>
    <t>Memento</t>
  </si>
  <si>
    <t>Blanc</t>
  </si>
  <si>
    <t>HeaQ</t>
  </si>
  <si>
    <t>Norskeren</t>
  </si>
  <si>
    <t>Afreeca Freecs</t>
  </si>
  <si>
    <t>AFs</t>
  </si>
  <si>
    <t>Kiin</t>
  </si>
  <si>
    <t>Spirit</t>
  </si>
  <si>
    <t>kurO</t>
  </si>
  <si>
    <t>Kramer</t>
  </si>
  <si>
    <t>TusiN</t>
  </si>
  <si>
    <t>MVP</t>
  </si>
  <si>
    <t>ADD</t>
  </si>
  <si>
    <t>Beyond</t>
  </si>
  <si>
    <t>Ian</t>
  </si>
  <si>
    <t>Snake Esports</t>
  </si>
  <si>
    <t>SN</t>
  </si>
  <si>
    <t>Flandre</t>
  </si>
  <si>
    <t>SofM</t>
  </si>
  <si>
    <t>Guoguo</t>
  </si>
  <si>
    <t>kRYST4L</t>
  </si>
  <si>
    <t>Hudie</t>
  </si>
  <si>
    <t>Team SoloMid</t>
  </si>
  <si>
    <t>TSM</t>
  </si>
  <si>
    <t>Hauntzer</t>
  </si>
  <si>
    <t>MikeYeung</t>
  </si>
  <si>
    <t>Bjergsen</t>
  </si>
  <si>
    <t>Zven</t>
  </si>
  <si>
    <t>Mithy</t>
  </si>
  <si>
    <t>Splyce</t>
  </si>
  <si>
    <t>SPY</t>
  </si>
  <si>
    <t>Odoamne</t>
  </si>
  <si>
    <t>Xerxe</t>
  </si>
  <si>
    <t>Nisqy</t>
  </si>
  <si>
    <t>Kobbe</t>
  </si>
  <si>
    <t>KaSing</t>
  </si>
  <si>
    <t>Kingzone DragonX</t>
  </si>
  <si>
    <t>Khan</t>
  </si>
  <si>
    <t>Peanut</t>
  </si>
  <si>
    <t>Bdd</t>
  </si>
  <si>
    <t>PraY</t>
  </si>
  <si>
    <t>GorillA</t>
  </si>
  <si>
    <t>Cloud 9</t>
  </si>
  <si>
    <t>C9</t>
  </si>
  <si>
    <t>Licorice</t>
  </si>
  <si>
    <t>Svenskeren</t>
  </si>
  <si>
    <t>Jensen</t>
  </si>
  <si>
    <t>Sneaky</t>
  </si>
  <si>
    <t>Smoothie</t>
  </si>
  <si>
    <t>Misfits</t>
  </si>
  <si>
    <t>MIS</t>
  </si>
  <si>
    <t>Alphari</t>
  </si>
  <si>
    <t>Maxlore</t>
  </si>
  <si>
    <t>Sencux</t>
  </si>
  <si>
    <t>Hans sama</t>
  </si>
  <si>
    <t>Mikyx</t>
  </si>
  <si>
    <t>Optic Gaming</t>
  </si>
  <si>
    <t>Akaadian</t>
  </si>
  <si>
    <t>PowerOfEvil</t>
  </si>
  <si>
    <t>Arrow</t>
  </si>
  <si>
    <t>LemonNation</t>
  </si>
  <si>
    <t>EDward Gaming</t>
  </si>
  <si>
    <t>EDG</t>
  </si>
  <si>
    <t>Haro</t>
  </si>
  <si>
    <t>Scout</t>
  </si>
  <si>
    <t>iBOY</t>
  </si>
  <si>
    <t>Team WE</t>
  </si>
  <si>
    <t>WE</t>
  </si>
  <si>
    <t>xiye</t>
  </si>
  <si>
    <t>Mystic</t>
  </si>
  <si>
    <t>Ben</t>
  </si>
  <si>
    <t>KSV</t>
  </si>
  <si>
    <t>CuVee</t>
  </si>
  <si>
    <t>Ambition</t>
  </si>
  <si>
    <t>Crown</t>
  </si>
  <si>
    <t>Ruler</t>
  </si>
  <si>
    <t>CoreJJ</t>
  </si>
  <si>
    <t>JD Gaming</t>
  </si>
  <si>
    <t>JDG</t>
  </si>
  <si>
    <t>Zoom</t>
  </si>
  <si>
    <t>Clid</t>
  </si>
  <si>
    <t>LokeN</t>
  </si>
  <si>
    <t>LvMao</t>
  </si>
  <si>
    <t>Kongdoo Monster</t>
  </si>
  <si>
    <t>KDM</t>
  </si>
  <si>
    <t>Roach</t>
  </si>
  <si>
    <t>Raise</t>
  </si>
  <si>
    <t>Edge</t>
  </si>
  <si>
    <t>SSol</t>
  </si>
  <si>
    <t>Secret</t>
  </si>
  <si>
    <t>SK Telecom T1</t>
  </si>
  <si>
    <t>SKT</t>
  </si>
  <si>
    <t>Faker</t>
  </si>
  <si>
    <t>Bang</t>
  </si>
  <si>
    <t>Team Liquid</t>
  </si>
  <si>
    <t>TL</t>
  </si>
  <si>
    <t>Impact</t>
  </si>
  <si>
    <t>Xmithie</t>
  </si>
  <si>
    <t>Pobelter</t>
  </si>
  <si>
    <t>Doublelift</t>
  </si>
  <si>
    <t>Olleh</t>
  </si>
  <si>
    <t>Rogue Warriors</t>
  </si>
  <si>
    <t>ROG</t>
  </si>
  <si>
    <t>Mouse</t>
  </si>
  <si>
    <t>Flawless</t>
  </si>
  <si>
    <t>Doinb</t>
  </si>
  <si>
    <t>SmLz</t>
  </si>
  <si>
    <t>Fnatic</t>
  </si>
  <si>
    <t>FNC</t>
  </si>
  <si>
    <t>sOAZ</t>
  </si>
  <si>
    <t>Broxah</t>
  </si>
  <si>
    <t>Caps</t>
  </si>
  <si>
    <t>Rekkles</t>
  </si>
  <si>
    <t>Hylissang</t>
  </si>
  <si>
    <t>Echo Fox</t>
  </si>
  <si>
    <t>FOX</t>
  </si>
  <si>
    <t>Flame</t>
  </si>
  <si>
    <t>AnDa</t>
  </si>
  <si>
    <t>WildTurtle</t>
  </si>
  <si>
    <t>Stunt</t>
  </si>
  <si>
    <t>Unicorns Of Love</t>
  </si>
  <si>
    <t>Whiteknight</t>
  </si>
  <si>
    <t>Exileh</t>
  </si>
  <si>
    <t>Samux</t>
  </si>
  <si>
    <t>Totoro</t>
  </si>
  <si>
    <t>Topsports Gaming</t>
  </si>
  <si>
    <t>TOP</t>
  </si>
  <si>
    <t>Karin</t>
  </si>
  <si>
    <t>Ggoong</t>
  </si>
  <si>
    <t>Qiuqiu</t>
  </si>
  <si>
    <t>CAT</t>
  </si>
  <si>
    <t>G2 Esports</t>
  </si>
  <si>
    <t>G2</t>
  </si>
  <si>
    <t>Wunder</t>
  </si>
  <si>
    <t>Jankos</t>
  </si>
  <si>
    <t>Perkz</t>
  </si>
  <si>
    <t>Hjarnan</t>
  </si>
  <si>
    <t>Wadid</t>
  </si>
  <si>
    <t>OMG</t>
  </si>
  <si>
    <t>Xiyang</t>
  </si>
  <si>
    <t>icon</t>
  </si>
  <si>
    <t>Chelly</t>
  </si>
  <si>
    <t>Five</t>
  </si>
  <si>
    <t>Clutch Gaming</t>
  </si>
  <si>
    <t>Lira</t>
  </si>
  <si>
    <t>Febiven</t>
  </si>
  <si>
    <t>Apollo</t>
  </si>
  <si>
    <t>Hakuho</t>
  </si>
  <si>
    <t>Invictus Gaming</t>
  </si>
  <si>
    <t>iG</t>
  </si>
  <si>
    <t>Ning</t>
  </si>
  <si>
    <t>JackeyLove</t>
  </si>
  <si>
    <t>Baolan</t>
  </si>
  <si>
    <t>Golden Guardians</t>
  </si>
  <si>
    <t>Lourlo</t>
  </si>
  <si>
    <t>Contractz</t>
  </si>
  <si>
    <t>Hai</t>
  </si>
  <si>
    <t>Deftly</t>
  </si>
  <si>
    <t>Matt</t>
  </si>
  <si>
    <t>Toplane:</t>
  </si>
  <si>
    <t>Jungle:</t>
  </si>
  <si>
    <t>Midlane:</t>
  </si>
  <si>
    <t>Marksman:</t>
  </si>
  <si>
    <t>Support:</t>
  </si>
  <si>
    <t>Name</t>
  </si>
  <si>
    <t>Elo</t>
  </si>
  <si>
    <t>Games</t>
  </si>
  <si>
    <t>Best of 1</t>
  </si>
  <si>
    <t>Best of 3</t>
  </si>
  <si>
    <t>Best of 5</t>
  </si>
  <si>
    <t>BO</t>
  </si>
  <si>
    <t>OA1_B=</t>
  </si>
  <si>
    <t>OA2_R=</t>
  </si>
  <si>
    <t>OA2_B=</t>
  </si>
  <si>
    <t>OA1=</t>
  </si>
  <si>
    <t>OA2=</t>
  </si>
  <si>
    <t>Win</t>
  </si>
  <si>
    <t>%</t>
  </si>
  <si>
    <t>line</t>
  </si>
  <si>
    <t>OA1_R=</t>
  </si>
  <si>
    <t>2-0</t>
  </si>
  <si>
    <t>2-1</t>
  </si>
  <si>
    <t>1-2</t>
  </si>
  <si>
    <t>0-2</t>
  </si>
  <si>
    <t>Team elo:</t>
  </si>
  <si>
    <t>ROX Tigers</t>
  </si>
  <si>
    <t>ROX</t>
  </si>
  <si>
    <t>Lindarang</t>
  </si>
  <si>
    <t>Sangyoon</t>
  </si>
  <si>
    <t>LCK</t>
  </si>
  <si>
    <t>LPL</t>
  </si>
  <si>
    <t>UoL</t>
  </si>
  <si>
    <t>EULCS</t>
  </si>
  <si>
    <t>Team Vitality</t>
  </si>
  <si>
    <t>VIT</t>
  </si>
  <si>
    <t>Cabochard</t>
  </si>
  <si>
    <t>Gilius</t>
  </si>
  <si>
    <t>Jiizuke</t>
  </si>
  <si>
    <t>Minitroupax</t>
  </si>
  <si>
    <t>Team name</t>
  </si>
  <si>
    <t>Jungle</t>
  </si>
  <si>
    <t>Toplane</t>
  </si>
  <si>
    <t>Midlane</t>
  </si>
  <si>
    <t>Marksman</t>
  </si>
  <si>
    <t>Support</t>
  </si>
  <si>
    <t>Rank</t>
  </si>
  <si>
    <t>Team Elo</t>
  </si>
  <si>
    <t>Average=1</t>
  </si>
  <si>
    <t>FlyQuest</t>
  </si>
  <si>
    <t>FLY</t>
  </si>
  <si>
    <t>OpTic</t>
  </si>
  <si>
    <t>Huni</t>
  </si>
  <si>
    <t>Dardoch</t>
  </si>
  <si>
    <t>Altec</t>
  </si>
  <si>
    <t>Adrian</t>
  </si>
  <si>
    <t>Clutch</t>
  </si>
  <si>
    <t>GGS</t>
  </si>
  <si>
    <t>NALCS</t>
  </si>
  <si>
    <t>FeniX</t>
  </si>
  <si>
    <t>Botlane</t>
  </si>
  <si>
    <t>Team</t>
  </si>
  <si>
    <t>RNG</t>
  </si>
  <si>
    <t>Teamname</t>
  </si>
  <si>
    <t>Nic</t>
  </si>
  <si>
    <t>Top</t>
  </si>
  <si>
    <t>Mid</t>
  </si>
  <si>
    <t>Adc</t>
  </si>
  <si>
    <t>Nickname</t>
  </si>
  <si>
    <t>Pepper</t>
  </si>
  <si>
    <t>Yuuki</t>
  </si>
  <si>
    <t>Yagao</t>
  </si>
  <si>
    <t>Road</t>
  </si>
  <si>
    <t>Solo</t>
  </si>
  <si>
    <t>Ray</t>
  </si>
  <si>
    <t>Meiko</t>
  </si>
  <si>
    <t>Gimgoon</t>
  </si>
  <si>
    <t>Bing</t>
  </si>
  <si>
    <t>Max KR</t>
  </si>
  <si>
    <t>Zig</t>
  </si>
  <si>
    <t>Key</t>
  </si>
  <si>
    <t>Killua</t>
  </si>
  <si>
    <t>Jacktroll</t>
  </si>
  <si>
    <t>Kold</t>
  </si>
  <si>
    <t>Promisq</t>
  </si>
  <si>
    <t>Rookie</t>
  </si>
  <si>
    <t>Fly</t>
  </si>
  <si>
    <t>SN Gaming</t>
  </si>
  <si>
    <t>Melon</t>
  </si>
  <si>
    <t>blank</t>
  </si>
  <si>
    <t>Lava</t>
  </si>
  <si>
    <t>Seonghwan</t>
  </si>
  <si>
    <t>TheShy</t>
  </si>
  <si>
    <t>Grace</t>
  </si>
  <si>
    <t>Moyu</t>
  </si>
  <si>
    <t>win</t>
  </si>
  <si>
    <t>lose</t>
  </si>
  <si>
    <t>ROCCAT</t>
  </si>
  <si>
    <t>Vitality</t>
  </si>
  <si>
    <t>Giants</t>
  </si>
  <si>
    <t>Lindarang,Seonghwan,Lava,Sangyoon,Key</t>
  </si>
  <si>
    <t>Darshan,Reignover,Huhi,Stixxay,Biofrost</t>
  </si>
  <si>
    <t>KSV Esports</t>
  </si>
  <si>
    <t>Profit,Memento,Blanc,HeaQ,Norskeren</t>
  </si>
  <si>
    <t>Odoamne,Xerxe,Nisqy,Kobbe,KaSing</t>
  </si>
  <si>
    <t>Khan,Peanut,Bdd,PraY,GorillA</t>
  </si>
  <si>
    <t>Alphari,Maxlore,Sencux,Hans sama,Mikyx</t>
  </si>
  <si>
    <t>Zoom,Clid,Yagao,LokeN,LvMao</t>
  </si>
  <si>
    <t>Roach,Raise,Edge,SSol,Secret</t>
  </si>
  <si>
    <t>Mouse,Flawless,Doinb,SmLz,Killua</t>
  </si>
  <si>
    <t>Wunder,Jankos,Perkz,Hjarnan,Wadid</t>
  </si>
  <si>
    <t>Impact,Xmithie,Pobelter,Doublelift,Olleh</t>
  </si>
  <si>
    <t>Solo,Lira,Febiven,Apollo,Hakuho</t>
  </si>
  <si>
    <t>Players:</t>
  </si>
  <si>
    <t>Outcome:</t>
  </si>
  <si>
    <t>Opponent:</t>
  </si>
  <si>
    <t>KZ</t>
  </si>
  <si>
    <t>Iceloli</t>
  </si>
  <si>
    <t>Meow</t>
  </si>
  <si>
    <t>Games Red</t>
  </si>
  <si>
    <t>elo1_blue=</t>
  </si>
  <si>
    <t>elo1_red=</t>
  </si>
  <si>
    <t>elo2_blue=</t>
  </si>
  <si>
    <t>elo2_red</t>
  </si>
  <si>
    <t>Game 2</t>
  </si>
  <si>
    <t>Game 1</t>
  </si>
  <si>
    <t>Game 3</t>
  </si>
  <si>
    <t>Thal</t>
  </si>
  <si>
    <t>Wolf</t>
  </si>
  <si>
    <t>Pilot</t>
  </si>
  <si>
    <t>Elo Blue</t>
  </si>
  <si>
    <t>Elo Red</t>
  </si>
  <si>
    <t>Games Blue</t>
  </si>
  <si>
    <t>Avg elo</t>
  </si>
  <si>
    <t>sum</t>
  </si>
  <si>
    <t>avg</t>
  </si>
  <si>
    <t>Team Ranking</t>
  </si>
  <si>
    <t>Nick</t>
  </si>
  <si>
    <t>Avg Elo</t>
  </si>
  <si>
    <t>Data here:</t>
  </si>
  <si>
    <t>Table here:</t>
  </si>
  <si>
    <t>Condi</t>
  </si>
  <si>
    <t>H4cker</t>
  </si>
  <si>
    <t>Corn</t>
  </si>
  <si>
    <t>1907 Fenerbahce</t>
  </si>
  <si>
    <t>Thaldrin</t>
  </si>
  <si>
    <t>Frozen</t>
  </si>
  <si>
    <t>Dark Passage</t>
  </si>
  <si>
    <t>Japone</t>
  </si>
  <si>
    <t>Galakticos</t>
  </si>
  <si>
    <t>GAL</t>
  </si>
  <si>
    <t>Rare</t>
  </si>
  <si>
    <t>Backlund</t>
  </si>
  <si>
    <t>Veux</t>
  </si>
  <si>
    <t>HWA Gaming</t>
  </si>
  <si>
    <t>Armut</t>
  </si>
  <si>
    <t>Trix</t>
  </si>
  <si>
    <t>Revanche</t>
  </si>
  <si>
    <t>Royal Bandits</t>
  </si>
  <si>
    <t>RBE</t>
  </si>
  <si>
    <t>Broken Blade</t>
  </si>
  <si>
    <t>Dumbledoge</t>
  </si>
  <si>
    <t>SuperMassive</t>
  </si>
  <si>
    <t>Stomaged</t>
  </si>
  <si>
    <t>GBM</t>
  </si>
  <si>
    <t>Zeitnot</t>
  </si>
  <si>
    <t>Team Aurora</t>
  </si>
  <si>
    <t>Naru</t>
  </si>
  <si>
    <t>Rain</t>
  </si>
  <si>
    <t>YouthCrew Esports</t>
  </si>
  <si>
    <t>Elwind</t>
  </si>
  <si>
    <t>Madness</t>
  </si>
  <si>
    <t>Fabfabulous,Stomaged,GBM,Zeitnot,Snowflower</t>
  </si>
  <si>
    <t>J1mmy</t>
  </si>
  <si>
    <t>Panky</t>
  </si>
  <si>
    <t>Neo</t>
  </si>
  <si>
    <t>Fabfabulous</t>
  </si>
  <si>
    <t>Snowflower</t>
  </si>
  <si>
    <t>Crazy,Trick,Tempt,Ghost,IgNar</t>
  </si>
  <si>
    <t>Smeb,Score,Ucal,Deft,Mata</t>
  </si>
  <si>
    <t>AmazingJ,Chieftain,Mole,jinjiao,Road</t>
  </si>
  <si>
    <t>Rare,Chosenn,MGX,J1mmy,Ozgur</t>
  </si>
  <si>
    <t>J1mmy,Chosenn,Fiseyin,Rare,Ozgur</t>
  </si>
  <si>
    <t>Roach,U Jun,Edge,SSol,Secret</t>
  </si>
  <si>
    <t>EVOS Esports</t>
  </si>
  <si>
    <t>Region</t>
  </si>
  <si>
    <t>KR</t>
  </si>
  <si>
    <t>EUW</t>
  </si>
  <si>
    <t>NA</t>
  </si>
  <si>
    <t>CN</t>
  </si>
  <si>
    <t>TW</t>
  </si>
  <si>
    <t>BR</t>
  </si>
  <si>
    <t>CIS</t>
  </si>
  <si>
    <t>Else</t>
  </si>
  <si>
    <t>Regional</t>
  </si>
  <si>
    <t>International</t>
  </si>
  <si>
    <t>EVS</t>
  </si>
  <si>
    <t>Stark</t>
  </si>
  <si>
    <t>YiJin</t>
  </si>
  <si>
    <t>Warzone</t>
  </si>
  <si>
    <t>Slay</t>
  </si>
  <si>
    <t>RonOP</t>
  </si>
  <si>
    <t>Flash Wolves</t>
  </si>
  <si>
    <t>FW</t>
  </si>
  <si>
    <t>Hanabi</t>
  </si>
  <si>
    <t>MooJin</t>
  </si>
  <si>
    <t>Maple</t>
  </si>
  <si>
    <t>Betty</t>
  </si>
  <si>
    <t>SwordArt</t>
  </si>
  <si>
    <t>Stark,YiJin,Warzone,Slay,RonOP</t>
  </si>
  <si>
    <t>Bwipo</t>
  </si>
  <si>
    <t>SoHwan,UmTi,Grace,Teddy,Nova</t>
  </si>
  <si>
    <t>Broken Blade,Closer,Abbedagge,Freeze,Dumbledoge</t>
  </si>
  <si>
    <t>Vizicsacsi,Amazing,Nukeduck,UpseT,VandeR</t>
  </si>
  <si>
    <t>Hioss,Wisdom,Naru,Rain,Rogu</t>
  </si>
  <si>
    <t>Bursaspor Esports</t>
  </si>
  <si>
    <t>Thaldrin,Move,Frozen,Padden,Zergsting</t>
  </si>
  <si>
    <t>Jinoo,Eimy,Yuuki,Y4,Pyl</t>
  </si>
  <si>
    <t>Ruin,Djoko,Betsy,Steeelback,Sirnukesalot</t>
  </si>
  <si>
    <t>Armut,Trix,telracS,Innaxe,Revanche</t>
  </si>
  <si>
    <t>Flame,Santorin,Keane,WildTurtle,JayJ</t>
  </si>
  <si>
    <t>Gimgoon,Alex,Cool,Lwx,Crisp</t>
  </si>
  <si>
    <t>Hauntzer,Grigne,Bjergsen,Zven,Mithy</t>
  </si>
  <si>
    <t>Dhokla,Akaadian,PowerOfEvil,Arrow,Big</t>
  </si>
  <si>
    <t>sOAZ,Broxah,Caps,Bwipo,Hylissang</t>
  </si>
  <si>
    <t>Lourlo,Contractz,Mickey,Deftly,Matt</t>
  </si>
  <si>
    <t>ssumday,AnDa,Ryu,Cody Sun,Aphromoo</t>
  </si>
  <si>
    <t>Griffin</t>
  </si>
  <si>
    <t>Flandre,SofM,Guoguo,Light,Maestro</t>
  </si>
  <si>
    <t>XiaoAL,H4cker,Angel,Fury,Yoon</t>
  </si>
  <si>
    <t>Whiteknight,Kold,Exileh,Neon,Totoro</t>
  </si>
  <si>
    <t>Yondu</t>
  </si>
  <si>
    <t>Aiming</t>
  </si>
  <si>
    <t>Gen.G</t>
  </si>
  <si>
    <t>CuVee,Ambition,Fly,Ruler,CoreJJ</t>
  </si>
  <si>
    <t>Licorice,Blaber,Jensen,Sneaky,Zeyzal</t>
  </si>
  <si>
    <t>Thal,blank,Pirean,Bang,Effort</t>
  </si>
  <si>
    <t>Moyu,Xx,Corn,Qiuqiu,CAT</t>
  </si>
  <si>
    <t>Move</t>
  </si>
  <si>
    <t>Padden</t>
  </si>
  <si>
    <t>FIN</t>
  </si>
  <si>
    <t>Sword</t>
  </si>
  <si>
    <t>Tarzan</t>
  </si>
  <si>
    <t>Chovy</t>
  </si>
  <si>
    <t>Viper</t>
  </si>
  <si>
    <t>Ucal</t>
  </si>
  <si>
    <t>Angel</t>
  </si>
  <si>
    <t>Sword,Tarzan,Chovy,Viper,Lehends</t>
  </si>
  <si>
    <t>Lehends</t>
  </si>
  <si>
    <t>Pirean</t>
  </si>
  <si>
    <t>Effort</t>
  </si>
  <si>
    <t>Hanwha Life Esports</t>
  </si>
  <si>
    <t>HLE</t>
  </si>
  <si>
    <t>Nova</t>
  </si>
  <si>
    <t>Duke</t>
  </si>
  <si>
    <t>Light</t>
  </si>
  <si>
    <t>Maestro</t>
  </si>
  <si>
    <t>Chieftain</t>
  </si>
  <si>
    <t>Mole</t>
  </si>
  <si>
    <t>Alex</t>
  </si>
  <si>
    <t>Cool</t>
  </si>
  <si>
    <t>Swift</t>
  </si>
  <si>
    <t>Sirnukesalot</t>
  </si>
  <si>
    <t>Attila</t>
  </si>
  <si>
    <t>Kikis</t>
  </si>
  <si>
    <t>Zeyzal</t>
  </si>
  <si>
    <t>Damonte</t>
  </si>
  <si>
    <t>Keane</t>
  </si>
  <si>
    <t>JayJ</t>
  </si>
  <si>
    <t>Mickey</t>
  </si>
  <si>
    <t>Big</t>
  </si>
  <si>
    <t>Grigne</t>
  </si>
  <si>
    <t>Amazing</t>
  </si>
  <si>
    <t>Cabochard,Kikis,Jiizuke,Attila,Jacktroll</t>
  </si>
  <si>
    <t>Motive</t>
  </si>
  <si>
    <t>Xx</t>
  </si>
  <si>
    <t>Dhokla</t>
  </si>
  <si>
    <t>ADD,Yondu,Ian,Pilot,Max KR</t>
  </si>
  <si>
    <t>Huni,Dardoch,Damonte,Lost,Smoothie</t>
  </si>
  <si>
    <t>Solo,Moon,Febiven,Piglet,Vulcan</t>
  </si>
  <si>
    <t>Lost</t>
  </si>
  <si>
    <t>Panky,Kirei,Humanoid,Luger,LongB</t>
  </si>
  <si>
    <t>SmittyJ,Caedrel,Larssen,Sheriff,Promisq</t>
  </si>
  <si>
    <t>Ray,Clearlove,Scout,iBOY,Meiko</t>
  </si>
  <si>
    <t>957,Condi,xiye,Mystic,Missing</t>
  </si>
  <si>
    <t>Missing</t>
  </si>
  <si>
    <t>Elwind,Sacage,MagiFelix,Madness,Japone</t>
  </si>
  <si>
    <t>Xiyang,Jiekou,icon,Chelly,Five</t>
  </si>
  <si>
    <t>TheShy,Ning,Rookie,JackeyLove,Baolan</t>
  </si>
  <si>
    <t>CuVee,Ambition,Crown,Ruler,CoreJJ</t>
  </si>
  <si>
    <t>AmazingJ,M1anhua,Athena,jinjiao,Road</t>
  </si>
  <si>
    <t>100 Thieves Academy</t>
  </si>
  <si>
    <t>100.A</t>
  </si>
  <si>
    <t>Brandini</t>
  </si>
  <si>
    <t>Levi</t>
  </si>
  <si>
    <t>Linsanity</t>
  </si>
  <si>
    <t>Rikara</t>
  </si>
  <si>
    <t>CLG Academy</t>
  </si>
  <si>
    <t>CLG.A</t>
  </si>
  <si>
    <t>Wiggily</t>
  </si>
  <si>
    <t>Fill</t>
  </si>
  <si>
    <t>Cloud 9 Academy</t>
  </si>
  <si>
    <t>C9.A</t>
  </si>
  <si>
    <t>Shiro</t>
  </si>
  <si>
    <t>Goldenglue</t>
  </si>
  <si>
    <t>KEITH</t>
  </si>
  <si>
    <t>Feng</t>
  </si>
  <si>
    <t>Clutch Gaming Academy</t>
  </si>
  <si>
    <t>CG.A</t>
  </si>
  <si>
    <t>Maxtrobo</t>
  </si>
  <si>
    <t>Moon</t>
  </si>
  <si>
    <t>Sun</t>
  </si>
  <si>
    <t>Piglet</t>
  </si>
  <si>
    <t>Vulcan</t>
  </si>
  <si>
    <t>Echo Fox Academy</t>
  </si>
  <si>
    <t>EF.A</t>
  </si>
  <si>
    <t>NintendudeX</t>
  </si>
  <si>
    <t>Spica</t>
  </si>
  <si>
    <t>Yusui</t>
  </si>
  <si>
    <t>Cake</t>
  </si>
  <si>
    <t>Mabrey</t>
  </si>
  <si>
    <t>FlyQuest Academy</t>
  </si>
  <si>
    <t>FLY.A</t>
  </si>
  <si>
    <t>Ngo</t>
  </si>
  <si>
    <t>Erry</t>
  </si>
  <si>
    <t>Kwon</t>
  </si>
  <si>
    <t>Golden Guardians Academy</t>
  </si>
  <si>
    <t>GGS.A</t>
  </si>
  <si>
    <t>Potluck</t>
  </si>
  <si>
    <t>bobqin</t>
  </si>
  <si>
    <t>Benji</t>
  </si>
  <si>
    <t>Sheep</t>
  </si>
  <si>
    <t>OpTic Gaming Academy</t>
  </si>
  <si>
    <t>OPT.A</t>
  </si>
  <si>
    <t>Fanatiik</t>
  </si>
  <si>
    <t>Palafox</t>
  </si>
  <si>
    <t>Eclipse</t>
  </si>
  <si>
    <t>Gate</t>
  </si>
  <si>
    <t>TSM Academy</t>
  </si>
  <si>
    <t>TSM.A</t>
  </si>
  <si>
    <t>PieCakeLord</t>
  </si>
  <si>
    <t>Ablazeolive</t>
  </si>
  <si>
    <t>Shady</t>
  </si>
  <si>
    <t>Team Liquid Academy</t>
  </si>
  <si>
    <t>TL.A</t>
  </si>
  <si>
    <t>V1PER</t>
  </si>
  <si>
    <t>Hard</t>
  </si>
  <si>
    <t>Insanity</t>
  </si>
  <si>
    <t>Shoryu</t>
  </si>
  <si>
    <t>Joey</t>
  </si>
  <si>
    <t>Allorim,Fanatiik,Palafox,Eclipse,Gate</t>
  </si>
  <si>
    <t>NintendudeX,Spica,Yusui,Cake,Mabrey</t>
  </si>
  <si>
    <t>Ngo,Meteos,Pekin Woof,Erry,Kwon</t>
  </si>
  <si>
    <t>Maxtrobo,Moon,Sun,Piglet,Vulcan</t>
  </si>
  <si>
    <t>FallenBandit,Wiggily,Shadow,Zag,Fill</t>
  </si>
  <si>
    <t>V1PER,Hard,Insanity,Shoryu,Joey</t>
  </si>
  <si>
    <t>Zig,Potluck,bobqin,Benji,Sheep</t>
  </si>
  <si>
    <t>Kiin,Spirit,kurO,Kramer,TusiN</t>
  </si>
  <si>
    <t>Brandini,Levi,Linsanity,Rikara,Stunt</t>
  </si>
  <si>
    <t>Shiro,Svenskeren,Goldenglue,KEITH,Feng</t>
  </si>
  <si>
    <t>Mr RalleZ</t>
  </si>
  <si>
    <t>PieCakeLord,MikeYeung,Ablazeolive,Mr RalleZ,Shady</t>
  </si>
  <si>
    <t>FallenBandit</t>
  </si>
  <si>
    <t>Shadow</t>
  </si>
  <si>
    <t>Zag</t>
  </si>
  <si>
    <t>Pekin Woof</t>
  </si>
  <si>
    <t>Allorim</t>
  </si>
  <si>
    <t>Uzi</t>
  </si>
  <si>
    <t>Coco</t>
  </si>
  <si>
    <t>Xintai</t>
  </si>
  <si>
    <t>Mlxg</t>
  </si>
  <si>
    <t>Snow</t>
  </si>
  <si>
    <t>Thal,blank,Faker,Bang,Effort</t>
  </si>
  <si>
    <t>Aodi</t>
  </si>
  <si>
    <t>Selfie</t>
  </si>
  <si>
    <t>Shook</t>
  </si>
  <si>
    <t>SmittyJ,Caedrel,Selfie,Shook,Promisq</t>
  </si>
  <si>
    <t>Alphari,Maxlore,Sencux,Hans sama,Jesiz</t>
  </si>
  <si>
    <t>Bwipo,Broxah,Caps,Rekkles,Hylissang</t>
  </si>
  <si>
    <t>Whiteknight,Kold,Exileh,Samux,Totoro</t>
  </si>
  <si>
    <t>SmittyJ,Caedrel,Selfie,Sheriff,Promisq</t>
  </si>
  <si>
    <t>Machi17</t>
  </si>
  <si>
    <t>MMd,MooJin,Maple,Betty,SwordArt</t>
  </si>
  <si>
    <t>Ragner,Stefan,Milica,Hades,Tolerant</t>
  </si>
  <si>
    <t>Zergsting</t>
  </si>
  <si>
    <t>BS</t>
  </si>
  <si>
    <t>Ragner</t>
  </si>
  <si>
    <t>Stefan</t>
  </si>
  <si>
    <t>Milica</t>
  </si>
  <si>
    <t>Hades</t>
  </si>
  <si>
    <t>Tolerant</t>
  </si>
  <si>
    <t>Kirei</t>
  </si>
  <si>
    <t>Humanoid</t>
  </si>
  <si>
    <t>Luger</t>
  </si>
  <si>
    <t>LongB</t>
  </si>
  <si>
    <t>telracS</t>
  </si>
  <si>
    <t>Innaxe</t>
  </si>
  <si>
    <t>Closer</t>
  </si>
  <si>
    <t>Abbedagge</t>
  </si>
  <si>
    <t>Freeze</t>
  </si>
  <si>
    <t>Hioss</t>
  </si>
  <si>
    <t>Rogu</t>
  </si>
  <si>
    <t>MagiFelix</t>
  </si>
  <si>
    <t>Sacage</t>
  </si>
  <si>
    <t>Clearlove</t>
  </si>
  <si>
    <t>Jiekou</t>
  </si>
  <si>
    <t>LetMe,Karsa,xiaohu,Uzi,Ming</t>
  </si>
  <si>
    <t>Aodi,Swift,Coco,Snow,Xintai</t>
  </si>
  <si>
    <t>Hanabi,MooJin,Maple,Betty,SwordArt</t>
  </si>
  <si>
    <t>J Team</t>
  </si>
  <si>
    <t>Licorice,Svenskeren,Goldenglue,Sneaky,Zeyzal</t>
  </si>
  <si>
    <t>957,Pepper,xiye,Mystic,Ben</t>
  </si>
  <si>
    <t>Lies,Alex,Corn,Qiuqiu,CAT</t>
  </si>
  <si>
    <t>Hioss,Naru,Xico,Rain,Rogu</t>
  </si>
  <si>
    <t>Cherry Gaming</t>
  </si>
  <si>
    <t>Cube Adonis</t>
  </si>
  <si>
    <t>bo 5</t>
  </si>
  <si>
    <t>home ml</t>
  </si>
  <si>
    <t>away ml</t>
  </si>
  <si>
    <t>MMd,MooJin,Maple,Betty,ShiauC</t>
  </si>
  <si>
    <t>G-Rex</t>
  </si>
  <si>
    <t>Doinb,SmLz,Killua</t>
  </si>
  <si>
    <t>sOAZ,Broxah,Caps,Rekkles,Hylissang</t>
  </si>
  <si>
    <t>Moyu,Xx,Ggoong,Qiuqiu,CAT</t>
  </si>
  <si>
    <t>Xico</t>
  </si>
  <si>
    <t>Aodi,Coco,Martin,Caveman</t>
  </si>
  <si>
    <t>Flandre,SofM,Guoguo,Light,Hudie</t>
  </si>
  <si>
    <t>Duke,Ning,Rookie,West,Baolan</t>
  </si>
  <si>
    <t>TheShy,Ning,Rookie,West,Baolan</t>
  </si>
  <si>
    <t>Blaber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</si>
</sst>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\ %"/>
    <numFmt numFmtId="165" formatCode="0.000"/>
  </numFmts>
  <fonts count="14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4" tint="-0.249977111117893"/>
      <name val="Calibri"/>
      <family val="2"/>
      <scheme val="minor"/>
    </font>
    <font>
      <b/>
      <sz val="16"/>
      <color rgb="FFC00000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sz val="16"/>
      <color rgb="FF0070C0"/>
      <name val="Calibri"/>
      <family val="2"/>
      <scheme val="minor"/>
    </font>
    <font>
      <sz val="16"/>
      <color rgb="FFFF0000"/>
      <name val="Calibri"/>
      <family val="2"/>
      <scheme val="minor"/>
    </font>
    <font>
      <sz val="12"/>
      <color rgb="FF000000"/>
      <name val="System Font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9E1F2"/>
        <bgColor rgb="FF000000"/>
      </patternFill>
    </fill>
    <fill>
      <patternFill patternType="solid">
        <fgColor theme="8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8">
    <xf numFmtId="0" fontId="0" fillId="0" borderId="0"/>
    <xf numFmtId="9" fontId="1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124">
    <xf numFmtId="0" fontId="0" fillId="0" borderId="0" xfId="0"/>
    <xf numFmtId="0" fontId="0" fillId="2" borderId="0" xfId="0" applyFill="1" applyAlignment="1">
      <alignment horizontal="center"/>
    </xf>
    <xf numFmtId="3" fontId="0" fillId="0" borderId="0" xfId="0" applyNumberFormat="1"/>
    <xf numFmtId="0" fontId="0" fillId="0" borderId="0" xfId="0" applyNumberFormat="1"/>
    <xf numFmtId="0" fontId="0" fillId="2" borderId="0" xfId="0" applyFill="1" applyAlignment="1">
      <alignment horizontal="right"/>
    </xf>
    <xf numFmtId="0" fontId="2" fillId="2" borderId="0" xfId="0" applyFont="1" applyFill="1" applyAlignment="1">
      <alignment horizontal="center"/>
    </xf>
    <xf numFmtId="1" fontId="2" fillId="2" borderId="0" xfId="0" applyNumberFormat="1" applyFont="1" applyFill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3" fillId="2" borderId="0" xfId="0" applyFont="1" applyFill="1" applyAlignment="1">
      <alignment horizontal="center"/>
    </xf>
    <xf numFmtId="0" fontId="4" fillId="2" borderId="0" xfId="0" applyFont="1" applyFill="1" applyAlignment="1">
      <alignment horizontal="center"/>
    </xf>
    <xf numFmtId="1" fontId="0" fillId="0" borderId="0" xfId="0" applyNumberFormat="1"/>
    <xf numFmtId="0" fontId="0" fillId="0" borderId="0" xfId="0" applyAlignment="1">
      <alignment horizontal="right"/>
    </xf>
    <xf numFmtId="164" fontId="0" fillId="0" borderId="0" xfId="0" applyNumberFormat="1"/>
    <xf numFmtId="49" fontId="0" fillId="0" borderId="0" xfId="0" applyNumberFormat="1" applyAlignment="1">
      <alignment horizontal="right"/>
    </xf>
    <xf numFmtId="49" fontId="0" fillId="0" borderId="0" xfId="0" applyNumberFormat="1"/>
    <xf numFmtId="2" fontId="2" fillId="2" borderId="5" xfId="0" applyNumberFormat="1" applyFont="1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0" xfId="0" applyFont="1" applyFill="1"/>
    <xf numFmtId="0" fontId="0" fillId="2" borderId="0" xfId="0" applyNumberFormat="1" applyFont="1" applyFill="1"/>
    <xf numFmtId="0" fontId="0" fillId="2" borderId="0" xfId="0" applyFont="1" applyFill="1" applyAlignment="1">
      <alignment horizontal="left"/>
    </xf>
    <xf numFmtId="0" fontId="0" fillId="2" borderId="15" xfId="0" applyNumberFormat="1" applyFont="1" applyFill="1" applyBorder="1"/>
    <xf numFmtId="0" fontId="0" fillId="2" borderId="15" xfId="0" applyNumberFormat="1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left"/>
    </xf>
    <xf numFmtId="0" fontId="2" fillId="3" borderId="9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9" fillId="4" borderId="15" xfId="0" applyFont="1" applyFill="1" applyBorder="1" applyAlignment="1">
      <alignment horizontal="center"/>
    </xf>
    <xf numFmtId="1" fontId="0" fillId="2" borderId="15" xfId="0" applyNumberFormat="1" applyFont="1" applyFill="1" applyBorder="1" applyAlignment="1">
      <alignment horizontal="center"/>
    </xf>
    <xf numFmtId="0" fontId="2" fillId="3" borderId="15" xfId="0" applyNumberFormat="1" applyFont="1" applyFill="1" applyBorder="1" applyAlignment="1">
      <alignment horizontal="center"/>
    </xf>
    <xf numFmtId="2" fontId="0" fillId="2" borderId="15" xfId="0" applyNumberFormat="1" applyFont="1" applyFill="1" applyBorder="1" applyAlignment="1">
      <alignment horizontal="center"/>
    </xf>
    <xf numFmtId="0" fontId="2" fillId="3" borderId="14" xfId="0" applyNumberFormat="1" applyFont="1" applyFill="1" applyBorder="1"/>
    <xf numFmtId="0" fontId="7" fillId="2" borderId="0" xfId="0" applyFont="1" applyFill="1" applyAlignment="1">
      <alignment horizontal="left"/>
    </xf>
    <xf numFmtId="0" fontId="2" fillId="3" borderId="1" xfId="0" applyFont="1" applyFill="1" applyBorder="1" applyAlignment="1">
      <alignment horizontal="right"/>
    </xf>
    <xf numFmtId="0" fontId="2" fillId="3" borderId="4" xfId="0" applyFont="1" applyFill="1" applyBorder="1" applyAlignment="1">
      <alignment horizontal="right"/>
    </xf>
    <xf numFmtId="0" fontId="2" fillId="3" borderId="6" xfId="0" applyFont="1" applyFill="1" applyBorder="1" applyAlignment="1">
      <alignment horizontal="right"/>
    </xf>
    <xf numFmtId="164" fontId="0" fillId="2" borderId="0" xfId="0" applyNumberForma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2" fillId="3" borderId="13" xfId="0" applyFont="1" applyFill="1" applyBorder="1" applyAlignment="1">
      <alignment horizontal="center"/>
    </xf>
    <xf numFmtId="0" fontId="2" fillId="3" borderId="14" xfId="0" applyFont="1" applyFill="1" applyBorder="1" applyAlignment="1">
      <alignment horizontal="center"/>
    </xf>
    <xf numFmtId="0" fontId="0" fillId="2" borderId="15" xfId="0" applyNumberFormat="1" applyFont="1" applyFill="1" applyBorder="1" applyAlignment="1">
      <alignment horizontal="left"/>
    </xf>
    <xf numFmtId="0" fontId="2" fillId="3" borderId="15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3" borderId="15" xfId="0" applyNumberFormat="1" applyFont="1" applyFill="1" applyBorder="1"/>
    <xf numFmtId="0" fontId="0" fillId="2" borderId="0" xfId="0" applyFont="1" applyFill="1" applyAlignment="1">
      <alignment horizontal="center"/>
    </xf>
    <xf numFmtId="0" fontId="0" fillId="2" borderId="15" xfId="0" applyFont="1" applyFill="1" applyBorder="1"/>
    <xf numFmtId="0" fontId="0" fillId="2" borderId="15" xfId="0" applyFont="1" applyFill="1" applyBorder="1" applyAlignment="1">
      <alignment horizontal="center"/>
    </xf>
    <xf numFmtId="0" fontId="2" fillId="3" borderId="14" xfId="0" applyNumberFormat="1" applyFont="1" applyFill="1" applyBorder="1" applyAlignment="1">
      <alignment horizontal="center"/>
    </xf>
    <xf numFmtId="0" fontId="0" fillId="2" borderId="0" xfId="0" applyFont="1" applyFill="1" applyAlignment="1"/>
    <xf numFmtId="0" fontId="2" fillId="3" borderId="9" xfId="0" applyNumberFormat="1" applyFont="1" applyFill="1" applyBorder="1" applyAlignment="1"/>
    <xf numFmtId="0" fontId="0" fillId="2" borderId="15" xfId="0" applyNumberFormat="1" applyFont="1" applyFill="1" applyBorder="1" applyAlignment="1"/>
    <xf numFmtId="0" fontId="2" fillId="3" borderId="10" xfId="0" applyNumberFormat="1" applyFont="1" applyFill="1" applyBorder="1" applyAlignment="1"/>
    <xf numFmtId="0" fontId="2" fillId="3" borderId="11" xfId="0" applyNumberFormat="1" applyFont="1" applyFill="1" applyBorder="1" applyAlignment="1"/>
    <xf numFmtId="0" fontId="0" fillId="2" borderId="0" xfId="1" applyNumberFormat="1" applyFont="1" applyFill="1" applyAlignment="1">
      <alignment horizontal="center"/>
    </xf>
    <xf numFmtId="164" fontId="0" fillId="2" borderId="0" xfId="1" applyNumberFormat="1" applyFont="1" applyFill="1" applyAlignment="1">
      <alignment horizontal="center"/>
    </xf>
    <xf numFmtId="164" fontId="0" fillId="2" borderId="0" xfId="0" applyNumberFormat="1" applyFill="1" applyAlignment="1">
      <alignment horizontal="center"/>
    </xf>
    <xf numFmtId="0" fontId="2" fillId="2" borderId="0" xfId="0" applyFont="1" applyFill="1" applyBorder="1" applyAlignment="1">
      <alignment horizontal="center"/>
    </xf>
    <xf numFmtId="0" fontId="0" fillId="2" borderId="0" xfId="0" applyFont="1" applyFill="1" applyBorder="1" applyAlignment="1">
      <alignment horizontal="center"/>
    </xf>
    <xf numFmtId="2" fontId="0" fillId="2" borderId="0" xfId="0" applyNumberFormat="1" applyFont="1" applyFill="1" applyBorder="1" applyAlignment="1">
      <alignment horizontal="center"/>
    </xf>
    <xf numFmtId="164" fontId="0" fillId="2" borderId="0" xfId="1" applyNumberFormat="1" applyFont="1" applyFill="1" applyBorder="1" applyAlignment="1">
      <alignment horizontal="center"/>
    </xf>
    <xf numFmtId="0" fontId="7" fillId="2" borderId="0" xfId="0" applyFont="1" applyFill="1" applyBorder="1" applyAlignment="1">
      <alignment horizontal="center"/>
    </xf>
    <xf numFmtId="0" fontId="0" fillId="2" borderId="0" xfId="0" quotePrefix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2" borderId="0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2" borderId="0" xfId="0" applyFont="1" applyFill="1" applyBorder="1" applyAlignment="1"/>
    <xf numFmtId="164" fontId="2" fillId="2" borderId="15" xfId="0" applyNumberFormat="1" applyFont="1" applyFill="1" applyBorder="1" applyAlignment="1">
      <alignment horizontal="center"/>
    </xf>
    <xf numFmtId="2" fontId="2" fillId="2" borderId="15" xfId="0" applyNumberFormat="1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164" fontId="2" fillId="2" borderId="1" xfId="0" applyNumberFormat="1" applyFont="1" applyFill="1" applyBorder="1" applyAlignment="1">
      <alignment horizontal="center"/>
    </xf>
    <xf numFmtId="2" fontId="2" fillId="2" borderId="3" xfId="0" applyNumberFormat="1" applyFont="1" applyFill="1" applyBorder="1" applyAlignment="1">
      <alignment horizontal="center"/>
    </xf>
    <xf numFmtId="164" fontId="2" fillId="2" borderId="4" xfId="0" applyNumberFormat="1" applyFont="1" applyFill="1" applyBorder="1" applyAlignment="1">
      <alignment horizontal="center"/>
    </xf>
    <xf numFmtId="2" fontId="0" fillId="2" borderId="0" xfId="0" applyNumberFormat="1" applyFill="1" applyBorder="1" applyAlignment="1">
      <alignment horizontal="center"/>
    </xf>
    <xf numFmtId="164" fontId="2" fillId="2" borderId="6" xfId="0" applyNumberFormat="1" applyFont="1" applyFill="1" applyBorder="1" applyAlignment="1">
      <alignment horizontal="center"/>
    </xf>
    <xf numFmtId="2" fontId="2" fillId="2" borderId="8" xfId="0" applyNumberFormat="1" applyFont="1" applyFill="1" applyBorder="1" applyAlignment="1">
      <alignment horizontal="center"/>
    </xf>
    <xf numFmtId="0" fontId="0" fillId="2" borderId="15" xfId="0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5" borderId="15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164" fontId="0" fillId="2" borderId="0" xfId="0" applyNumberFormat="1" applyFont="1" applyFill="1" applyBorder="1" applyAlignment="1">
      <alignment horizontal="center"/>
    </xf>
    <xf numFmtId="0" fontId="0" fillId="2" borderId="0" xfId="0" applyFill="1"/>
    <xf numFmtId="0" fontId="0" fillId="3" borderId="15" xfId="0" applyFill="1" applyBorder="1"/>
    <xf numFmtId="0" fontId="0" fillId="2" borderId="15" xfId="0" applyFill="1" applyBorder="1"/>
    <xf numFmtId="0" fontId="0" fillId="3" borderId="15" xfId="0" applyFill="1" applyBorder="1" applyAlignment="1"/>
    <xf numFmtId="0" fontId="2" fillId="3" borderId="15" xfId="0" applyFont="1" applyFill="1" applyBorder="1" applyAlignment="1"/>
    <xf numFmtId="0" fontId="2" fillId="2" borderId="15" xfId="0" applyFont="1" applyFill="1" applyBorder="1"/>
    <xf numFmtId="0" fontId="2" fillId="2" borderId="15" xfId="0" applyFont="1" applyFill="1" applyBorder="1" applyAlignment="1">
      <alignment horizontal="center"/>
    </xf>
    <xf numFmtId="0" fontId="0" fillId="2" borderId="0" xfId="0" applyFill="1" applyBorder="1"/>
    <xf numFmtId="0" fontId="2" fillId="3" borderId="15" xfId="0" applyFont="1" applyFill="1" applyBorder="1"/>
    <xf numFmtId="0" fontId="2" fillId="2" borderId="0" xfId="0" applyFont="1" applyFill="1"/>
    <xf numFmtId="165" fontId="0" fillId="2" borderId="15" xfId="0" applyNumberFormat="1" applyFont="1" applyFill="1" applyBorder="1" applyAlignment="1">
      <alignment horizontal="center"/>
    </xf>
    <xf numFmtId="0" fontId="0" fillId="2" borderId="0" xfId="0" applyFill="1" applyBorder="1" applyAlignment="1"/>
    <xf numFmtId="0" fontId="0" fillId="2" borderId="0" xfId="0" applyFont="1" applyFill="1" applyBorder="1"/>
    <xf numFmtId="2" fontId="1" fillId="2" borderId="0" xfId="1" applyNumberFormat="1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11" fillId="2" borderId="0" xfId="0" applyFont="1" applyFill="1" applyAlignment="1">
      <alignment horizontal="center"/>
    </xf>
    <xf numFmtId="0" fontId="12" fillId="2" borderId="0" xfId="0" applyFont="1" applyFill="1" applyAlignment="1">
      <alignment horizontal="center"/>
    </xf>
    <xf numFmtId="0" fontId="0" fillId="2" borderId="15" xfId="0" applyNumberFormat="1" applyFont="1" applyFill="1" applyBorder="1" applyAlignment="1">
      <alignment horizontal="left"/>
    </xf>
    <xf numFmtId="0" fontId="2" fillId="3" borderId="15" xfId="0" applyFont="1" applyFill="1" applyBorder="1" applyAlignment="1">
      <alignment horizontal="center"/>
    </xf>
    <xf numFmtId="0" fontId="2" fillId="3" borderId="9" xfId="0" applyNumberFormat="1" applyFont="1" applyFill="1" applyBorder="1" applyAlignment="1">
      <alignment horizontal="center"/>
    </xf>
    <xf numFmtId="0" fontId="2" fillId="3" borderId="10" xfId="0" applyNumberFormat="1" applyFont="1" applyFill="1" applyBorder="1" applyAlignment="1">
      <alignment horizontal="center"/>
    </xf>
    <xf numFmtId="0" fontId="2" fillId="3" borderId="11" xfId="0" applyNumberFormat="1" applyFont="1" applyFill="1" applyBorder="1" applyAlignment="1">
      <alignment horizontal="center"/>
    </xf>
    <xf numFmtId="0" fontId="8" fillId="3" borderId="15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 vertical="center"/>
    </xf>
    <xf numFmtId="0" fontId="2" fillId="3" borderId="14" xfId="0" applyFont="1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left"/>
    </xf>
    <xf numFmtId="0" fontId="10" fillId="2" borderId="15" xfId="0" applyFont="1" applyFill="1" applyBorder="1" applyAlignment="1">
      <alignment horizontal="left" vertical="center"/>
    </xf>
    <xf numFmtId="0" fontId="0" fillId="2" borderId="15" xfId="0" applyFill="1" applyBorder="1" applyAlignment="1">
      <alignment horizontal="left"/>
    </xf>
  </cellXfs>
  <cellStyles count="48">
    <cellStyle name="Avattu hyperlinkki" xfId="3" builtinId="9" hidden="1"/>
    <cellStyle name="Avattu hyperlinkki" xfId="5" builtinId="9" hidden="1"/>
    <cellStyle name="Avattu hyperlinkki" xfId="7" builtinId="9" hidden="1"/>
    <cellStyle name="Avattu hyperlinkki" xfId="9" builtinId="9" hidden="1"/>
    <cellStyle name="Avattu hyperlinkki" xfId="11" builtinId="9" hidden="1"/>
    <cellStyle name="Avattu hyperlinkki" xfId="13" builtinId="9" hidden="1"/>
    <cellStyle name="Avattu hyperlinkki" xfId="15" builtinId="9" hidden="1"/>
    <cellStyle name="Avattu hyperlinkki" xfId="17" builtinId="9" hidden="1"/>
    <cellStyle name="Avattu hyperlinkki" xfId="19" builtinId="9" hidden="1"/>
    <cellStyle name="Avattu hyperlinkki" xfId="21" builtinId="9" hidden="1"/>
    <cellStyle name="Avattu hyperlinkki" xfId="23" builtinId="9" hidden="1"/>
    <cellStyle name="Avattu hyperlinkki" xfId="25" builtinId="9" hidden="1"/>
    <cellStyle name="Avattu hyperlinkki" xfId="27" builtinId="9" hidden="1"/>
    <cellStyle name="Avattu hyperlinkki" xfId="29" builtinId="9" hidden="1"/>
    <cellStyle name="Avattu hyperlinkki" xfId="31" builtinId="9" hidden="1"/>
    <cellStyle name="Avattu hyperlinkki" xfId="33" builtinId="9" hidden="1"/>
    <cellStyle name="Avattu hyperlinkki" xfId="35" builtinId="9" hidden="1"/>
    <cellStyle name="Avattu hyperlinkki" xfId="37" builtinId="9" hidden="1"/>
    <cellStyle name="Avattu hyperlinkki" xfId="39" builtinId="9" hidden="1"/>
    <cellStyle name="Avattu hyperlinkki" xfId="41" builtinId="9" hidden="1"/>
    <cellStyle name="Avattu hyperlinkki" xfId="43" builtinId="9" hidden="1"/>
    <cellStyle name="Avattu hyperlinkki" xfId="45" builtinId="9" hidden="1"/>
    <cellStyle name="Avattu hyperlinkki" xfId="47" builtinId="9" hidden="1"/>
    <cellStyle name="Hyperlinkki" xfId="2" builtinId="8" hidden="1"/>
    <cellStyle name="Hyperlinkki" xfId="4" builtinId="8" hidden="1"/>
    <cellStyle name="Hyperlinkki" xfId="6" builtinId="8" hidden="1"/>
    <cellStyle name="Hyperlinkki" xfId="8" builtinId="8" hidden="1"/>
    <cellStyle name="Hyperlinkki" xfId="10" builtinId="8" hidden="1"/>
    <cellStyle name="Hyperlinkki" xfId="12" builtinId="8" hidden="1"/>
    <cellStyle name="Hyperlinkki" xfId="14" builtinId="8" hidden="1"/>
    <cellStyle name="Hyperlinkki" xfId="16" builtinId="8" hidden="1"/>
    <cellStyle name="Hyperlinkki" xfId="18" builtinId="8" hidden="1"/>
    <cellStyle name="Hyperlinkki" xfId="20" builtinId="8" hidden="1"/>
    <cellStyle name="Hyperlinkki" xfId="22" builtinId="8" hidden="1"/>
    <cellStyle name="Hyperlinkki" xfId="24" builtinId="8" hidden="1"/>
    <cellStyle name="Hyperlinkki" xfId="26" builtinId="8" hidden="1"/>
    <cellStyle name="Hyperlinkki" xfId="28" builtinId="8" hidden="1"/>
    <cellStyle name="Hyperlinkki" xfId="30" builtinId="8" hidden="1"/>
    <cellStyle name="Hyperlinkki" xfId="32" builtinId="8" hidden="1"/>
    <cellStyle name="Hyperlinkki" xfId="34" builtinId="8" hidden="1"/>
    <cellStyle name="Hyperlinkki" xfId="36" builtinId="8" hidden="1"/>
    <cellStyle name="Hyperlinkki" xfId="38" builtinId="8" hidden="1"/>
    <cellStyle name="Hyperlinkki" xfId="40" builtinId="8" hidden="1"/>
    <cellStyle name="Hyperlinkki" xfId="42" builtinId="8" hidden="1"/>
    <cellStyle name="Hyperlinkki" xfId="44" builtinId="8" hidden="1"/>
    <cellStyle name="Hyperlinkki" xfId="46" builtinId="8" hidden="1"/>
    <cellStyle name="Normaali" xfId="0" builtinId="0"/>
    <cellStyle name="Prosenttia" xfId="1" builtinId="5"/>
  </cellStyles>
  <dxfs count="4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Drop" dropLines="52" dropStyle="combo" dx="16" fmlaLink="Data!$C$80:$C$80" fmlaRange="Data!$A$1:$A$66" sel="28" val="14"/>
</file>

<file path=xl/ctrlProps/ctrlProp3.xml><?xml version="1.0" encoding="utf-8"?>
<formControlPr xmlns="http://schemas.microsoft.com/office/spreadsheetml/2009/9/main" objectType="Drop" dropLines="52" dropStyle="combo" dx="16" fmlaLink="Data!$C$81:$C$81" fmlaRange="Data!$A$1:$A$66" sel="20" val="14"/>
</file>

<file path=xl/ctrlProps/ctrlProp4.xml><?xml version="1.0" encoding="utf-8"?>
<formControlPr xmlns="http://schemas.microsoft.com/office/spreadsheetml/2009/9/main" objectType="Drop" dropLines="52" dropStyle="combo" dx="16" fmlaLink="Data!$D$86" fmlaRange="Data!$C$86:$C$88" sel="1" val="0"/>
</file>

<file path=xl/ctrlProps/ctrlProp5.xml><?xml version="1.0" encoding="utf-8"?>
<formControlPr xmlns="http://schemas.microsoft.com/office/spreadsheetml/2009/9/main" objectType="Scroll" dx="16" fmlaLink="Data!$E$90" horiz="1" inc="5" max="100" page="5" val="76"/>
</file>

<file path=xl/ctrlProps/ctrlProp6.xml><?xml version="1.0" encoding="utf-8"?>
<formControlPr xmlns="http://schemas.microsoft.com/office/spreadsheetml/2009/9/main" objectType="Drop" dropLines="52" dropStyle="combo" dx="16" fmlaLink="Data!$E$113" fmlaRange="Data!$C$113:$C$120" sel="1" val="0"/>
</file>

<file path=xl/ctrlProps/ctrlProp7.xml><?xml version="1.0" encoding="utf-8"?>
<formControlPr xmlns="http://schemas.microsoft.com/office/spreadsheetml/2009/9/main" objectType="Drop" dropLines="52" dropStyle="combo" dx="16" fmlaLink="Data!$F$113" fmlaRange="Data!$C$113:$C$120" sel="1" val="0"/>
</file>

<file path=xl/ctrlProps/ctrlProp8.xml><?xml version="1.0" encoding="utf-8"?>
<formControlPr xmlns="http://schemas.microsoft.com/office/spreadsheetml/2009/9/main" objectType="Drop" dropLines="52" dropStyle="combo" dx="16" fmlaLink="Data!$D$122" fmlaRange="Data!$C$122:$C$123" sel="1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276225</xdr:colOff>
          <xdr:row>1</xdr:row>
          <xdr:rowOff>66675</xdr:rowOff>
        </xdr:from>
        <xdr:to>
          <xdr:col>4</xdr:col>
          <xdr:colOff>523875</xdr:colOff>
          <xdr:row>3</xdr:row>
          <xdr:rowOff>28575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System Font"/>
                </a:rPr>
                <a:t>Update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466725</xdr:colOff>
          <xdr:row>1</xdr:row>
          <xdr:rowOff>47625</xdr:rowOff>
        </xdr:from>
        <xdr:to>
          <xdr:col>4</xdr:col>
          <xdr:colOff>457200</xdr:colOff>
          <xdr:row>2</xdr:row>
          <xdr:rowOff>152400</xdr:rowOff>
        </xdr:to>
        <xdr:sp macro="" textlink="">
          <xdr:nvSpPr>
            <xdr:cNvPr id="1026" name="Drop Dow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5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352425</xdr:colOff>
          <xdr:row>1</xdr:row>
          <xdr:rowOff>47625</xdr:rowOff>
        </xdr:from>
        <xdr:to>
          <xdr:col>11</xdr:col>
          <xdr:colOff>257175</xdr:colOff>
          <xdr:row>2</xdr:row>
          <xdr:rowOff>152400</xdr:rowOff>
        </xdr:to>
        <xdr:sp macro="" textlink="">
          <xdr:nvSpPr>
            <xdr:cNvPr id="1029" name="Drop Dow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5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276225</xdr:colOff>
          <xdr:row>11</xdr:row>
          <xdr:rowOff>104775</xdr:rowOff>
        </xdr:from>
        <xdr:to>
          <xdr:col>7</xdr:col>
          <xdr:colOff>685800</xdr:colOff>
          <xdr:row>13</xdr:row>
          <xdr:rowOff>0</xdr:rowOff>
        </xdr:to>
        <xdr:sp macro="" textlink="">
          <xdr:nvSpPr>
            <xdr:cNvPr id="1031" name="Drop Dow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5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657225</xdr:colOff>
          <xdr:row>15</xdr:row>
          <xdr:rowOff>47625</xdr:rowOff>
        </xdr:from>
        <xdr:to>
          <xdr:col>8</xdr:col>
          <xdr:colOff>238125</xdr:colOff>
          <xdr:row>16</xdr:row>
          <xdr:rowOff>38100</xdr:rowOff>
        </xdr:to>
        <xdr:sp macro="" textlink="">
          <xdr:nvSpPr>
            <xdr:cNvPr id="1032" name="Scroll Bar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5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0</xdr:row>
          <xdr:rowOff>257175</xdr:rowOff>
        </xdr:from>
        <xdr:to>
          <xdr:col>6</xdr:col>
          <xdr:colOff>790575</xdr:colOff>
          <xdr:row>1</xdr:row>
          <xdr:rowOff>152400</xdr:rowOff>
        </xdr:to>
        <xdr:sp macro="" textlink="">
          <xdr:nvSpPr>
            <xdr:cNvPr id="1033" name="Drop Dow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5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0</xdr:row>
          <xdr:rowOff>266700</xdr:rowOff>
        </xdr:from>
        <xdr:to>
          <xdr:col>7</xdr:col>
          <xdr:colOff>790575</xdr:colOff>
          <xdr:row>1</xdr:row>
          <xdr:rowOff>152400</xdr:rowOff>
        </xdr:to>
        <xdr:sp macro="" textlink="">
          <xdr:nvSpPr>
            <xdr:cNvPr id="1034" name="Drop Dow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5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3</xdr:row>
          <xdr:rowOff>104775</xdr:rowOff>
        </xdr:from>
        <xdr:to>
          <xdr:col>8</xdr:col>
          <xdr:colOff>0</xdr:colOff>
          <xdr:row>5</xdr:row>
          <xdr:rowOff>66675</xdr:rowOff>
        </xdr:to>
        <xdr:sp macro="" textlink="">
          <xdr:nvSpPr>
            <xdr:cNvPr id="1035" name="Drop Dow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5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eam_last_game_data_1" connectionId="6" xr16:uid="{00000000-0016-0000-0000-000000000000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U_1" connectionId="1" xr16:uid="{00000000-0016-0000-0200-000001000000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CK_1" connectionId="3" xr16:uid="{00000000-0016-0000-0300-000002000000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cel_data" connectionId="2" xr16:uid="{00000000-0016-0000-0400-000003000000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NA_1" connectionId="5" xr16:uid="{00000000-0016-0000-0600-000004000000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LPL_1" connectionId="4" xr16:uid="{00000000-0016-0000-0700-00000500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ctrlProp" Target="../ctrlProps/ctrlProp2.xml"/><Relationship Id="rId7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Relationship Id="rId9" Type="http://schemas.openxmlformats.org/officeDocument/2006/relationships/ctrlProp" Target="../ctrlProps/ctrlProp8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P66"/>
  <sheetViews>
    <sheetView topLeftCell="A5" workbookViewId="0">
      <selection activeCell="A5" sqref="A5"/>
    </sheetView>
  </sheetViews>
  <sheetFormatPr defaultColWidth="11" defaultRowHeight="15.75"/>
  <cols>
    <col min="1" max="1" width="23.625" bestFit="1" customWidth="1"/>
    <col min="2" max="2" width="44.75" bestFit="1" customWidth="1"/>
    <col min="3" max="3" width="4.25" bestFit="1" customWidth="1"/>
    <col min="4" max="4" width="20.875" bestFit="1" customWidth="1"/>
    <col min="5" max="5" width="44.75" bestFit="1" customWidth="1"/>
    <col min="6" max="6" width="4.25" bestFit="1" customWidth="1"/>
    <col min="7" max="7" width="20.875" bestFit="1" customWidth="1"/>
    <col min="8" max="8" width="44.75" bestFit="1" customWidth="1"/>
    <col min="9" max="9" width="4.25" bestFit="1" customWidth="1"/>
    <col min="10" max="10" width="23.625" bestFit="1" customWidth="1"/>
    <col min="11" max="11" width="44.75" bestFit="1" customWidth="1"/>
    <col min="12" max="12" width="4.25" bestFit="1" customWidth="1"/>
    <col min="13" max="13" width="23.625" bestFit="1" customWidth="1"/>
    <col min="14" max="14" width="44.75" bestFit="1" customWidth="1"/>
    <col min="15" max="15" width="4.25" bestFit="1" customWidth="1"/>
    <col min="16" max="16" width="23.625" bestFit="1" customWidth="1"/>
  </cols>
  <sheetData>
    <row r="1" spans="1:16">
      <c r="A1" t="s">
        <v>2</v>
      </c>
      <c r="B1" t="s">
        <v>461</v>
      </c>
      <c r="C1" t="s">
        <v>346</v>
      </c>
      <c r="D1" t="s">
        <v>483</v>
      </c>
      <c r="E1" t="s">
        <v>461</v>
      </c>
      <c r="F1" t="s">
        <v>345</v>
      </c>
      <c r="G1" t="s">
        <v>483</v>
      </c>
      <c r="H1" t="s">
        <v>461</v>
      </c>
      <c r="I1" t="s">
        <v>346</v>
      </c>
      <c r="J1" t="s">
        <v>483</v>
      </c>
      <c r="K1" t="s">
        <v>461</v>
      </c>
      <c r="L1" t="s">
        <v>346</v>
      </c>
      <c r="M1" t="s">
        <v>95</v>
      </c>
      <c r="N1" t="s">
        <v>461</v>
      </c>
      <c r="O1" t="s">
        <v>346</v>
      </c>
      <c r="P1" t="s">
        <v>95</v>
      </c>
    </row>
    <row r="2" spans="1:16">
      <c r="A2" t="s">
        <v>8</v>
      </c>
      <c r="B2" t="s">
        <v>428</v>
      </c>
      <c r="C2" t="s">
        <v>346</v>
      </c>
      <c r="D2" t="s">
        <v>483</v>
      </c>
      <c r="E2" t="s">
        <v>428</v>
      </c>
      <c r="F2" t="s">
        <v>346</v>
      </c>
      <c r="G2" t="s">
        <v>127</v>
      </c>
      <c r="H2" t="s">
        <v>428</v>
      </c>
      <c r="I2" t="s">
        <v>346</v>
      </c>
      <c r="J2" t="s">
        <v>127</v>
      </c>
      <c r="K2" t="s">
        <v>428</v>
      </c>
      <c r="L2" t="s">
        <v>346</v>
      </c>
      <c r="M2" t="s">
        <v>477</v>
      </c>
      <c r="N2" t="s">
        <v>428</v>
      </c>
      <c r="O2" t="s">
        <v>346</v>
      </c>
      <c r="P2" t="s">
        <v>477</v>
      </c>
    </row>
    <row r="3" spans="1:16">
      <c r="A3" t="s">
        <v>15</v>
      </c>
      <c r="B3" t="s">
        <v>656</v>
      </c>
      <c r="C3" t="s">
        <v>346</v>
      </c>
      <c r="D3" t="s">
        <v>239</v>
      </c>
      <c r="E3" t="s">
        <v>656</v>
      </c>
      <c r="F3" t="s">
        <v>346</v>
      </c>
      <c r="G3" t="s">
        <v>239</v>
      </c>
      <c r="H3" t="s">
        <v>656</v>
      </c>
      <c r="I3" t="s">
        <v>345</v>
      </c>
      <c r="J3" t="s">
        <v>41</v>
      </c>
      <c r="K3" t="s">
        <v>656</v>
      </c>
      <c r="L3" t="s">
        <v>346</v>
      </c>
      <c r="M3" t="s">
        <v>41</v>
      </c>
      <c r="N3" t="s">
        <v>656</v>
      </c>
      <c r="O3" t="s">
        <v>345</v>
      </c>
      <c r="P3" t="s">
        <v>41</v>
      </c>
    </row>
    <row r="4" spans="1:16">
      <c r="A4" t="s">
        <v>408</v>
      </c>
      <c r="B4" t="s">
        <v>462</v>
      </c>
      <c r="C4" t="s">
        <v>345</v>
      </c>
      <c r="D4" t="s">
        <v>394</v>
      </c>
      <c r="E4" t="s">
        <v>462</v>
      </c>
      <c r="F4" t="s">
        <v>345</v>
      </c>
      <c r="G4" t="s">
        <v>412</v>
      </c>
      <c r="H4" t="s">
        <v>462</v>
      </c>
      <c r="I4" t="s">
        <v>345</v>
      </c>
      <c r="J4" t="s">
        <v>416</v>
      </c>
      <c r="K4" t="s">
        <v>462</v>
      </c>
      <c r="L4" t="s">
        <v>345</v>
      </c>
      <c r="M4" t="s">
        <v>404</v>
      </c>
      <c r="N4" t="s">
        <v>462</v>
      </c>
      <c r="O4" t="s">
        <v>346</v>
      </c>
      <c r="P4" t="s">
        <v>397</v>
      </c>
    </row>
    <row r="5" spans="1:16">
      <c r="A5" t="s">
        <v>551</v>
      </c>
      <c r="B5" t="s">
        <v>609</v>
      </c>
      <c r="C5" t="s">
        <v>345</v>
      </c>
      <c r="D5" t="s">
        <v>547</v>
      </c>
      <c r="E5" t="s">
        <v>609</v>
      </c>
      <c r="F5" t="s">
        <v>345</v>
      </c>
      <c r="G5" t="s">
        <v>541</v>
      </c>
      <c r="H5" t="s">
        <v>609</v>
      </c>
      <c r="I5" t="s">
        <v>346</v>
      </c>
      <c r="J5" t="s">
        <v>576</v>
      </c>
      <c r="K5" t="s">
        <v>609</v>
      </c>
      <c r="L5" t="s">
        <v>345</v>
      </c>
      <c r="M5" t="s">
        <v>588</v>
      </c>
      <c r="N5" t="s">
        <v>609</v>
      </c>
      <c r="O5" t="s">
        <v>345</v>
      </c>
      <c r="P5" t="s">
        <v>557</v>
      </c>
    </row>
    <row r="6" spans="1:16">
      <c r="A6" t="s">
        <v>27</v>
      </c>
      <c r="B6" t="s">
        <v>429</v>
      </c>
      <c r="C6" t="s">
        <v>345</v>
      </c>
      <c r="D6" t="s">
        <v>2</v>
      </c>
      <c r="E6" t="s">
        <v>429</v>
      </c>
      <c r="F6" t="s">
        <v>345</v>
      </c>
      <c r="G6" t="s">
        <v>501</v>
      </c>
      <c r="H6" t="s">
        <v>429</v>
      </c>
      <c r="I6" t="s">
        <v>345</v>
      </c>
      <c r="J6" t="s">
        <v>501</v>
      </c>
      <c r="K6" t="s">
        <v>429</v>
      </c>
      <c r="L6" t="s">
        <v>345</v>
      </c>
      <c r="M6" t="s">
        <v>102</v>
      </c>
      <c r="N6" t="s">
        <v>429</v>
      </c>
      <c r="O6" t="s">
        <v>345</v>
      </c>
      <c r="P6" t="s">
        <v>102</v>
      </c>
    </row>
    <row r="7" spans="1:16">
      <c r="A7" t="s">
        <v>477</v>
      </c>
      <c r="B7" t="s">
        <v>497</v>
      </c>
      <c r="C7" t="s">
        <v>345</v>
      </c>
      <c r="D7" t="s">
        <v>95</v>
      </c>
      <c r="E7" t="s">
        <v>497</v>
      </c>
      <c r="F7" t="s">
        <v>346</v>
      </c>
      <c r="G7" t="s">
        <v>95</v>
      </c>
      <c r="H7" t="s">
        <v>497</v>
      </c>
      <c r="I7" t="s">
        <v>346</v>
      </c>
      <c r="J7" t="s">
        <v>95</v>
      </c>
      <c r="K7" t="s">
        <v>497</v>
      </c>
      <c r="L7" t="s">
        <v>345</v>
      </c>
      <c r="M7" t="s">
        <v>95</v>
      </c>
      <c r="N7" t="s">
        <v>497</v>
      </c>
      <c r="O7" t="s">
        <v>345</v>
      </c>
      <c r="P7" t="s">
        <v>95</v>
      </c>
    </row>
    <row r="8" spans="1:16">
      <c r="A8" t="s">
        <v>34</v>
      </c>
      <c r="B8" t="s">
        <v>463</v>
      </c>
      <c r="C8" t="s">
        <v>345</v>
      </c>
      <c r="D8" t="s">
        <v>140</v>
      </c>
      <c r="E8" t="s">
        <v>463</v>
      </c>
      <c r="F8" t="s">
        <v>345</v>
      </c>
      <c r="G8" t="s">
        <v>348</v>
      </c>
      <c r="H8" t="s">
        <v>463</v>
      </c>
      <c r="I8" t="s">
        <v>345</v>
      </c>
      <c r="J8" t="s">
        <v>349</v>
      </c>
      <c r="K8" t="s">
        <v>463</v>
      </c>
      <c r="L8" t="s">
        <v>345</v>
      </c>
      <c r="M8" t="s">
        <v>120</v>
      </c>
      <c r="N8" t="s">
        <v>463</v>
      </c>
      <c r="O8" t="s">
        <v>346</v>
      </c>
      <c r="P8" t="s">
        <v>60</v>
      </c>
    </row>
    <row r="9" spans="1:16">
      <c r="A9" t="s">
        <v>41</v>
      </c>
      <c r="B9" t="s">
        <v>540</v>
      </c>
      <c r="C9" t="s">
        <v>346</v>
      </c>
      <c r="D9" t="s">
        <v>168</v>
      </c>
      <c r="E9" t="s">
        <v>430</v>
      </c>
      <c r="F9" t="s">
        <v>346</v>
      </c>
      <c r="G9" t="s">
        <v>168</v>
      </c>
      <c r="H9" t="s">
        <v>430</v>
      </c>
      <c r="I9" t="s">
        <v>346</v>
      </c>
      <c r="J9" t="s">
        <v>15</v>
      </c>
      <c r="K9" t="s">
        <v>430</v>
      </c>
      <c r="L9" t="s">
        <v>345</v>
      </c>
      <c r="M9" t="s">
        <v>15</v>
      </c>
      <c r="N9" t="s">
        <v>430</v>
      </c>
      <c r="O9" t="s">
        <v>346</v>
      </c>
      <c r="P9" t="s">
        <v>15</v>
      </c>
    </row>
    <row r="10" spans="1:16">
      <c r="A10" t="s">
        <v>399</v>
      </c>
      <c r="B10" t="s">
        <v>431</v>
      </c>
      <c r="C10" t="s">
        <v>346</v>
      </c>
      <c r="D10" t="s">
        <v>412</v>
      </c>
      <c r="E10" t="s">
        <v>431</v>
      </c>
      <c r="F10" t="s">
        <v>346</v>
      </c>
      <c r="G10" t="s">
        <v>394</v>
      </c>
      <c r="H10" t="s">
        <v>431</v>
      </c>
      <c r="I10" t="s">
        <v>345</v>
      </c>
      <c r="J10" t="s">
        <v>397</v>
      </c>
      <c r="K10" t="s">
        <v>432</v>
      </c>
      <c r="L10" t="s">
        <v>346</v>
      </c>
      <c r="M10" t="s">
        <v>408</v>
      </c>
      <c r="N10" t="s">
        <v>431</v>
      </c>
      <c r="O10" t="s">
        <v>346</v>
      </c>
      <c r="P10" t="s">
        <v>404</v>
      </c>
    </row>
    <row r="11" spans="1:16">
      <c r="A11" t="s">
        <v>582</v>
      </c>
      <c r="B11" t="s">
        <v>600</v>
      </c>
      <c r="C11" t="s">
        <v>346</v>
      </c>
      <c r="D11" t="s">
        <v>557</v>
      </c>
      <c r="E11" t="s">
        <v>600</v>
      </c>
      <c r="F11" t="s">
        <v>346</v>
      </c>
      <c r="G11" t="s">
        <v>588</v>
      </c>
      <c r="H11" t="s">
        <v>600</v>
      </c>
      <c r="I11" t="s">
        <v>346</v>
      </c>
      <c r="J11" t="s">
        <v>593</v>
      </c>
      <c r="K11" t="s">
        <v>600</v>
      </c>
      <c r="L11" t="s">
        <v>346</v>
      </c>
      <c r="M11" t="s">
        <v>576</v>
      </c>
      <c r="N11" t="s">
        <v>600</v>
      </c>
      <c r="O11" t="s">
        <v>346</v>
      </c>
      <c r="P11" t="s">
        <v>571</v>
      </c>
    </row>
    <row r="12" spans="1:16">
      <c r="A12" t="s">
        <v>564</v>
      </c>
      <c r="B12" t="s">
        <v>601</v>
      </c>
      <c r="C12" t="s">
        <v>346</v>
      </c>
      <c r="D12" t="s">
        <v>571</v>
      </c>
      <c r="E12" t="s">
        <v>601</v>
      </c>
      <c r="F12" t="s">
        <v>346</v>
      </c>
      <c r="G12" t="s">
        <v>547</v>
      </c>
      <c r="H12" t="s">
        <v>601</v>
      </c>
      <c r="I12" t="s">
        <v>346</v>
      </c>
      <c r="J12" t="s">
        <v>541</v>
      </c>
      <c r="K12" t="s">
        <v>601</v>
      </c>
      <c r="L12" t="s">
        <v>346</v>
      </c>
      <c r="M12" t="s">
        <v>557</v>
      </c>
      <c r="N12" t="s">
        <v>601</v>
      </c>
      <c r="O12" t="s">
        <v>345</v>
      </c>
      <c r="P12" t="s">
        <v>576</v>
      </c>
    </row>
    <row r="13" spans="1:16">
      <c r="A13" t="s">
        <v>571</v>
      </c>
      <c r="B13" t="s">
        <v>602</v>
      </c>
      <c r="C13" t="s">
        <v>345</v>
      </c>
      <c r="D13" t="s">
        <v>557</v>
      </c>
      <c r="E13" t="s">
        <v>602</v>
      </c>
      <c r="F13" t="s">
        <v>346</v>
      </c>
      <c r="G13" t="s">
        <v>557</v>
      </c>
      <c r="H13" t="s">
        <v>602</v>
      </c>
      <c r="I13" t="s">
        <v>346</v>
      </c>
      <c r="J13" t="s">
        <v>557</v>
      </c>
      <c r="K13" t="s">
        <v>602</v>
      </c>
      <c r="L13" t="s">
        <v>345</v>
      </c>
      <c r="M13" t="s">
        <v>557</v>
      </c>
      <c r="N13" t="s">
        <v>602</v>
      </c>
      <c r="O13" t="s">
        <v>345</v>
      </c>
      <c r="P13" t="s">
        <v>557</v>
      </c>
    </row>
    <row r="14" spans="1:16">
      <c r="A14" t="s">
        <v>557</v>
      </c>
      <c r="B14" t="s">
        <v>603</v>
      </c>
      <c r="C14" t="s">
        <v>346</v>
      </c>
      <c r="D14" t="s">
        <v>571</v>
      </c>
      <c r="E14" t="s">
        <v>603</v>
      </c>
      <c r="F14" t="s">
        <v>345</v>
      </c>
      <c r="G14" t="s">
        <v>571</v>
      </c>
      <c r="H14" t="s">
        <v>603</v>
      </c>
      <c r="I14" t="s">
        <v>345</v>
      </c>
      <c r="J14" t="s">
        <v>571</v>
      </c>
      <c r="K14" t="s">
        <v>603</v>
      </c>
      <c r="L14" t="s">
        <v>346</v>
      </c>
      <c r="M14" t="s">
        <v>571</v>
      </c>
      <c r="N14" t="s">
        <v>603</v>
      </c>
      <c r="O14" t="s">
        <v>346</v>
      </c>
      <c r="P14" t="s">
        <v>571</v>
      </c>
    </row>
    <row r="15" spans="1:16">
      <c r="A15" t="s">
        <v>416</v>
      </c>
      <c r="B15" t="s">
        <v>464</v>
      </c>
      <c r="C15" t="s">
        <v>346</v>
      </c>
      <c r="D15" t="s">
        <v>465</v>
      </c>
      <c r="E15" t="s">
        <v>464</v>
      </c>
      <c r="F15" t="s">
        <v>346</v>
      </c>
      <c r="G15" t="s">
        <v>419</v>
      </c>
      <c r="H15" t="s">
        <v>663</v>
      </c>
      <c r="I15" t="s">
        <v>346</v>
      </c>
      <c r="J15" t="s">
        <v>408</v>
      </c>
      <c r="K15" t="s">
        <v>663</v>
      </c>
      <c r="L15" t="s">
        <v>346</v>
      </c>
      <c r="M15" t="s">
        <v>412</v>
      </c>
      <c r="N15" t="s">
        <v>663</v>
      </c>
      <c r="O15" t="s">
        <v>345</v>
      </c>
      <c r="P15" t="s">
        <v>394</v>
      </c>
    </row>
    <row r="16" spans="1:16">
      <c r="A16" t="s">
        <v>394</v>
      </c>
      <c r="B16" t="s">
        <v>466</v>
      </c>
      <c r="C16" t="s">
        <v>346</v>
      </c>
      <c r="D16" t="s">
        <v>408</v>
      </c>
      <c r="E16" t="s">
        <v>466</v>
      </c>
      <c r="F16" t="s">
        <v>345</v>
      </c>
      <c r="G16" t="s">
        <v>397</v>
      </c>
      <c r="H16" t="s">
        <v>466</v>
      </c>
      <c r="I16" t="s">
        <v>346</v>
      </c>
      <c r="J16" t="s">
        <v>412</v>
      </c>
      <c r="K16" t="s">
        <v>466</v>
      </c>
      <c r="L16" t="s">
        <v>345</v>
      </c>
      <c r="M16" t="s">
        <v>465</v>
      </c>
      <c r="N16" t="s">
        <v>466</v>
      </c>
      <c r="O16" t="s">
        <v>346</v>
      </c>
      <c r="P16" t="s">
        <v>416</v>
      </c>
    </row>
    <row r="17" spans="1:16">
      <c r="A17" t="s">
        <v>54</v>
      </c>
      <c r="B17" t="s">
        <v>467</v>
      </c>
      <c r="C17" t="s">
        <v>346</v>
      </c>
      <c r="D17" t="s">
        <v>337</v>
      </c>
      <c r="E17" t="s">
        <v>467</v>
      </c>
      <c r="F17" t="s">
        <v>346</v>
      </c>
      <c r="G17" t="s">
        <v>337</v>
      </c>
      <c r="H17" t="s">
        <v>467</v>
      </c>
      <c r="I17" t="s">
        <v>345</v>
      </c>
      <c r="J17" t="s">
        <v>239</v>
      </c>
      <c r="K17" t="s">
        <v>467</v>
      </c>
      <c r="L17" t="s">
        <v>346</v>
      </c>
      <c r="M17" t="s">
        <v>239</v>
      </c>
      <c r="N17" t="s">
        <v>467</v>
      </c>
      <c r="O17" t="s">
        <v>346</v>
      </c>
      <c r="P17" t="s">
        <v>239</v>
      </c>
    </row>
    <row r="18" spans="1:16">
      <c r="A18" t="s">
        <v>60</v>
      </c>
      <c r="B18" t="s">
        <v>532</v>
      </c>
      <c r="C18" t="s">
        <v>345</v>
      </c>
      <c r="D18" t="s">
        <v>120</v>
      </c>
      <c r="E18" t="s">
        <v>626</v>
      </c>
      <c r="F18" t="s">
        <v>346</v>
      </c>
      <c r="G18" t="s">
        <v>140</v>
      </c>
      <c r="H18" t="s">
        <v>630</v>
      </c>
      <c r="I18" t="s">
        <v>346</v>
      </c>
      <c r="J18" t="s">
        <v>348</v>
      </c>
      <c r="K18" t="s">
        <v>630</v>
      </c>
      <c r="L18" t="s">
        <v>346</v>
      </c>
      <c r="M18" t="s">
        <v>211</v>
      </c>
      <c r="N18" t="s">
        <v>630</v>
      </c>
      <c r="O18" t="s">
        <v>345</v>
      </c>
      <c r="P18" t="s">
        <v>34</v>
      </c>
    </row>
    <row r="19" spans="1:16">
      <c r="A19" t="s">
        <v>349</v>
      </c>
      <c r="B19" t="s">
        <v>468</v>
      </c>
      <c r="C19" t="s">
        <v>345</v>
      </c>
      <c r="D19" t="s">
        <v>347</v>
      </c>
      <c r="E19" t="s">
        <v>468</v>
      </c>
      <c r="F19" t="s">
        <v>346</v>
      </c>
      <c r="G19" t="s">
        <v>198</v>
      </c>
      <c r="H19" t="s">
        <v>468</v>
      </c>
      <c r="I19" t="s">
        <v>346</v>
      </c>
      <c r="J19" t="s">
        <v>34</v>
      </c>
      <c r="K19" t="s">
        <v>468</v>
      </c>
      <c r="L19" t="s">
        <v>346</v>
      </c>
      <c r="M19" t="s">
        <v>222</v>
      </c>
      <c r="N19" t="s">
        <v>468</v>
      </c>
      <c r="O19" t="s">
        <v>346</v>
      </c>
      <c r="P19" t="s">
        <v>120</v>
      </c>
    </row>
    <row r="20" spans="1:16">
      <c r="A20" t="s">
        <v>404</v>
      </c>
      <c r="B20" t="s">
        <v>469</v>
      </c>
      <c r="C20" t="s">
        <v>346</v>
      </c>
      <c r="D20" t="s">
        <v>397</v>
      </c>
      <c r="E20" t="s">
        <v>469</v>
      </c>
      <c r="F20" t="s">
        <v>345</v>
      </c>
      <c r="G20" t="s">
        <v>465</v>
      </c>
      <c r="H20" t="s">
        <v>469</v>
      </c>
      <c r="I20" t="s">
        <v>345</v>
      </c>
      <c r="J20" t="s">
        <v>419</v>
      </c>
      <c r="K20" t="s">
        <v>469</v>
      </c>
      <c r="L20" t="s">
        <v>346</v>
      </c>
      <c r="M20" t="s">
        <v>408</v>
      </c>
      <c r="N20" t="s">
        <v>469</v>
      </c>
      <c r="O20" t="s">
        <v>345</v>
      </c>
      <c r="P20" t="s">
        <v>412</v>
      </c>
    </row>
    <row r="21" spans="1:16">
      <c r="A21" t="s">
        <v>547</v>
      </c>
      <c r="B21" t="s">
        <v>604</v>
      </c>
      <c r="C21" t="s">
        <v>346</v>
      </c>
      <c r="D21" t="s">
        <v>541</v>
      </c>
      <c r="E21" t="s">
        <v>604</v>
      </c>
      <c r="F21" t="s">
        <v>345</v>
      </c>
      <c r="G21" t="s">
        <v>541</v>
      </c>
      <c r="H21" t="s">
        <v>604</v>
      </c>
      <c r="I21" t="s">
        <v>346</v>
      </c>
      <c r="J21" t="s">
        <v>541</v>
      </c>
      <c r="K21" t="s">
        <v>604</v>
      </c>
      <c r="L21" t="s">
        <v>345</v>
      </c>
      <c r="M21" t="s">
        <v>541</v>
      </c>
      <c r="N21" t="s">
        <v>604</v>
      </c>
      <c r="O21" t="s">
        <v>345</v>
      </c>
      <c r="P21" t="s">
        <v>541</v>
      </c>
    </row>
    <row r="22" spans="1:16">
      <c r="A22" t="s">
        <v>593</v>
      </c>
      <c r="B22" t="s">
        <v>605</v>
      </c>
      <c r="C22" t="s">
        <v>345</v>
      </c>
      <c r="D22" t="s">
        <v>588</v>
      </c>
      <c r="E22" t="s">
        <v>605</v>
      </c>
      <c r="F22" t="s">
        <v>346</v>
      </c>
      <c r="G22" t="s">
        <v>557</v>
      </c>
      <c r="H22" t="s">
        <v>605</v>
      </c>
      <c r="I22" t="s">
        <v>345</v>
      </c>
      <c r="J22" t="s">
        <v>582</v>
      </c>
      <c r="K22" t="s">
        <v>605</v>
      </c>
      <c r="L22" t="s">
        <v>345</v>
      </c>
      <c r="M22" t="s">
        <v>541</v>
      </c>
      <c r="N22" t="s">
        <v>605</v>
      </c>
      <c r="O22" t="s">
        <v>345</v>
      </c>
      <c r="P22" t="s">
        <v>547</v>
      </c>
    </row>
    <row r="23" spans="1:16">
      <c r="A23" t="s">
        <v>434</v>
      </c>
      <c r="B23" t="s">
        <v>459</v>
      </c>
      <c r="C23" t="s">
        <v>345</v>
      </c>
      <c r="D23" t="s">
        <v>664</v>
      </c>
      <c r="E23" t="s">
        <v>459</v>
      </c>
      <c r="F23" t="s">
        <v>345</v>
      </c>
      <c r="G23" t="s">
        <v>664</v>
      </c>
      <c r="H23" t="s">
        <v>459</v>
      </c>
      <c r="I23" t="s">
        <v>346</v>
      </c>
      <c r="J23" t="s">
        <v>665</v>
      </c>
      <c r="K23" t="s">
        <v>459</v>
      </c>
      <c r="L23" t="s">
        <v>345</v>
      </c>
      <c r="M23" t="s">
        <v>665</v>
      </c>
      <c r="N23" t="s">
        <v>459</v>
      </c>
      <c r="O23" t="s">
        <v>346</v>
      </c>
      <c r="P23" t="s">
        <v>665</v>
      </c>
    </row>
    <row r="24" spans="1:16">
      <c r="A24" t="s">
        <v>576</v>
      </c>
      <c r="B24" t="s">
        <v>606</v>
      </c>
      <c r="C24" t="s">
        <v>346</v>
      </c>
      <c r="D24" t="s">
        <v>541</v>
      </c>
      <c r="E24" t="s">
        <v>606</v>
      </c>
      <c r="F24" t="s">
        <v>346</v>
      </c>
      <c r="G24" t="s">
        <v>571</v>
      </c>
      <c r="H24" t="s">
        <v>606</v>
      </c>
      <c r="I24" t="s">
        <v>345</v>
      </c>
      <c r="J24" t="s">
        <v>551</v>
      </c>
      <c r="K24" t="s">
        <v>606</v>
      </c>
      <c r="L24" t="s">
        <v>345</v>
      </c>
      <c r="M24" t="s">
        <v>582</v>
      </c>
      <c r="N24" t="s">
        <v>606</v>
      </c>
      <c r="O24" t="s">
        <v>346</v>
      </c>
      <c r="P24" t="s">
        <v>564</v>
      </c>
    </row>
    <row r="25" spans="1:16">
      <c r="A25" t="s">
        <v>348</v>
      </c>
      <c r="B25" t="s">
        <v>523</v>
      </c>
      <c r="C25" t="s">
        <v>345</v>
      </c>
      <c r="D25" t="s">
        <v>211</v>
      </c>
      <c r="E25" t="s">
        <v>523</v>
      </c>
      <c r="F25" t="s">
        <v>346</v>
      </c>
      <c r="G25" t="s">
        <v>34</v>
      </c>
      <c r="H25" t="s">
        <v>523</v>
      </c>
      <c r="I25" t="s">
        <v>345</v>
      </c>
      <c r="J25" t="s">
        <v>60</v>
      </c>
      <c r="K25" t="s">
        <v>523</v>
      </c>
      <c r="L25" t="s">
        <v>345</v>
      </c>
      <c r="M25" t="s">
        <v>140</v>
      </c>
      <c r="N25" t="s">
        <v>523</v>
      </c>
      <c r="O25" t="s">
        <v>345</v>
      </c>
      <c r="P25" t="s">
        <v>222</v>
      </c>
    </row>
    <row r="26" spans="1:16">
      <c r="A26" t="s">
        <v>588</v>
      </c>
      <c r="B26" t="s">
        <v>611</v>
      </c>
      <c r="C26" t="s">
        <v>346</v>
      </c>
      <c r="D26" t="s">
        <v>593</v>
      </c>
      <c r="E26" t="s">
        <v>611</v>
      </c>
      <c r="F26" t="s">
        <v>345</v>
      </c>
      <c r="G26" t="s">
        <v>582</v>
      </c>
      <c r="H26" t="s">
        <v>611</v>
      </c>
      <c r="I26" t="s">
        <v>345</v>
      </c>
      <c r="J26" t="s">
        <v>571</v>
      </c>
      <c r="K26" t="s">
        <v>611</v>
      </c>
      <c r="L26" t="s">
        <v>346</v>
      </c>
      <c r="M26" t="s">
        <v>551</v>
      </c>
      <c r="N26" t="s">
        <v>611</v>
      </c>
      <c r="O26" t="s">
        <v>346</v>
      </c>
      <c r="P26" t="s">
        <v>541</v>
      </c>
    </row>
    <row r="27" spans="1:16">
      <c r="A27" t="s">
        <v>299</v>
      </c>
      <c r="B27" t="s">
        <v>470</v>
      </c>
      <c r="C27" t="s">
        <v>345</v>
      </c>
      <c r="D27" t="s">
        <v>113</v>
      </c>
      <c r="E27" t="s">
        <v>470</v>
      </c>
      <c r="F27" t="s">
        <v>346</v>
      </c>
      <c r="G27" t="s">
        <v>147</v>
      </c>
      <c r="H27" t="s">
        <v>470</v>
      </c>
      <c r="I27" t="s">
        <v>346</v>
      </c>
      <c r="J27" t="s">
        <v>185</v>
      </c>
      <c r="K27" t="s">
        <v>470</v>
      </c>
      <c r="L27" t="s">
        <v>345</v>
      </c>
      <c r="M27" t="s">
        <v>234</v>
      </c>
      <c r="N27" t="s">
        <v>470</v>
      </c>
      <c r="O27" t="s">
        <v>345</v>
      </c>
      <c r="P27" t="s">
        <v>21</v>
      </c>
    </row>
    <row r="28" spans="1:16">
      <c r="A28" t="s">
        <v>66</v>
      </c>
      <c r="B28" t="s">
        <v>476</v>
      </c>
      <c r="C28" t="s">
        <v>345</v>
      </c>
      <c r="D28" t="s">
        <v>21</v>
      </c>
      <c r="E28" t="s">
        <v>476</v>
      </c>
      <c r="F28" t="s">
        <v>346</v>
      </c>
      <c r="G28" t="s">
        <v>185</v>
      </c>
      <c r="H28" t="s">
        <v>476</v>
      </c>
      <c r="I28" t="s">
        <v>345</v>
      </c>
      <c r="J28" t="s">
        <v>244</v>
      </c>
      <c r="K28" t="s">
        <v>476</v>
      </c>
      <c r="L28" t="s">
        <v>345</v>
      </c>
      <c r="M28" t="s">
        <v>205</v>
      </c>
      <c r="N28" t="s">
        <v>476</v>
      </c>
      <c r="O28" t="s">
        <v>346</v>
      </c>
      <c r="P28" t="s">
        <v>113</v>
      </c>
    </row>
    <row r="29" spans="1:16">
      <c r="A29" t="s">
        <v>78</v>
      </c>
      <c r="B29" t="s">
        <v>657</v>
      </c>
      <c r="C29" t="s">
        <v>346</v>
      </c>
      <c r="D29" t="s">
        <v>15</v>
      </c>
      <c r="E29" t="s">
        <v>657</v>
      </c>
      <c r="F29" t="s">
        <v>346</v>
      </c>
      <c r="G29" t="s">
        <v>54</v>
      </c>
      <c r="H29" t="s">
        <v>657</v>
      </c>
      <c r="I29" t="s">
        <v>346</v>
      </c>
      <c r="J29" t="s">
        <v>54</v>
      </c>
      <c r="K29" t="s">
        <v>675</v>
      </c>
      <c r="L29" t="s">
        <v>346</v>
      </c>
      <c r="M29" t="s">
        <v>168</v>
      </c>
      <c r="N29" t="s">
        <v>675</v>
      </c>
      <c r="O29" t="s">
        <v>346</v>
      </c>
      <c r="P29" t="s">
        <v>168</v>
      </c>
    </row>
    <row r="30" spans="1:16">
      <c r="A30" t="s">
        <v>452</v>
      </c>
      <c r="B30" t="s">
        <v>632</v>
      </c>
      <c r="C30" t="s">
        <v>345</v>
      </c>
      <c r="D30" t="s">
        <v>631</v>
      </c>
      <c r="E30" t="s">
        <v>658</v>
      </c>
      <c r="F30" t="s">
        <v>345</v>
      </c>
      <c r="G30" t="s">
        <v>659</v>
      </c>
      <c r="H30" t="s">
        <v>658</v>
      </c>
      <c r="I30" t="s">
        <v>345</v>
      </c>
      <c r="J30" t="s">
        <v>659</v>
      </c>
      <c r="K30" t="s">
        <v>669</v>
      </c>
      <c r="L30" t="s">
        <v>345</v>
      </c>
      <c r="M30" t="s">
        <v>670</v>
      </c>
      <c r="N30" t="s">
        <v>632</v>
      </c>
      <c r="O30" t="s">
        <v>345</v>
      </c>
      <c r="P30" t="s">
        <v>670</v>
      </c>
    </row>
    <row r="31" spans="1:16">
      <c r="A31" t="s">
        <v>84</v>
      </c>
      <c r="B31" t="s">
        <v>487</v>
      </c>
      <c r="C31" t="s">
        <v>346</v>
      </c>
      <c r="D31" t="s">
        <v>216</v>
      </c>
      <c r="E31" t="s">
        <v>471</v>
      </c>
      <c r="F31" t="s">
        <v>346</v>
      </c>
      <c r="G31" t="s">
        <v>157</v>
      </c>
      <c r="H31" t="s">
        <v>471</v>
      </c>
      <c r="I31" t="s">
        <v>346</v>
      </c>
      <c r="J31" t="s">
        <v>157</v>
      </c>
      <c r="K31" t="s">
        <v>471</v>
      </c>
      <c r="L31" t="s">
        <v>345</v>
      </c>
      <c r="M31" t="s">
        <v>106</v>
      </c>
      <c r="N31" t="s">
        <v>471</v>
      </c>
      <c r="O31" t="s">
        <v>345</v>
      </c>
      <c r="P31" t="s">
        <v>106</v>
      </c>
    </row>
    <row r="32" spans="1:16">
      <c r="A32" t="s">
        <v>501</v>
      </c>
      <c r="B32" t="s">
        <v>350</v>
      </c>
      <c r="C32" t="s">
        <v>345</v>
      </c>
      <c r="D32" t="s">
        <v>95</v>
      </c>
      <c r="E32" t="s">
        <v>350</v>
      </c>
      <c r="F32" t="s">
        <v>346</v>
      </c>
      <c r="G32" t="s">
        <v>95</v>
      </c>
      <c r="H32" t="s">
        <v>350</v>
      </c>
      <c r="I32" t="s">
        <v>345</v>
      </c>
      <c r="J32" t="s">
        <v>95</v>
      </c>
      <c r="K32" t="s">
        <v>350</v>
      </c>
      <c r="L32" t="s">
        <v>346</v>
      </c>
      <c r="M32" t="s">
        <v>27</v>
      </c>
      <c r="N32" t="s">
        <v>350</v>
      </c>
      <c r="O32" t="s">
        <v>346</v>
      </c>
      <c r="P32" t="s">
        <v>27</v>
      </c>
    </row>
    <row r="33" spans="1:16">
      <c r="A33" t="s">
        <v>95</v>
      </c>
      <c r="B33" t="s">
        <v>607</v>
      </c>
      <c r="C33" t="s">
        <v>346</v>
      </c>
      <c r="D33" t="s">
        <v>477</v>
      </c>
      <c r="E33" t="s">
        <v>607</v>
      </c>
      <c r="F33" t="s">
        <v>345</v>
      </c>
      <c r="G33" t="s">
        <v>477</v>
      </c>
      <c r="H33" t="s">
        <v>607</v>
      </c>
      <c r="I33" t="s">
        <v>345</v>
      </c>
      <c r="J33" t="s">
        <v>477</v>
      </c>
      <c r="K33" t="s">
        <v>607</v>
      </c>
      <c r="L33" t="s">
        <v>346</v>
      </c>
      <c r="M33" t="s">
        <v>477</v>
      </c>
      <c r="N33" t="s">
        <v>607</v>
      </c>
      <c r="O33" t="s">
        <v>346</v>
      </c>
      <c r="P33" t="s">
        <v>477</v>
      </c>
    </row>
    <row r="34" spans="1:16">
      <c r="A34" t="s">
        <v>102</v>
      </c>
      <c r="B34" t="s">
        <v>527</v>
      </c>
      <c r="C34" t="s">
        <v>346</v>
      </c>
      <c r="D34" t="s">
        <v>501</v>
      </c>
      <c r="E34" t="s">
        <v>527</v>
      </c>
      <c r="F34" t="s">
        <v>346</v>
      </c>
      <c r="G34" t="s">
        <v>483</v>
      </c>
      <c r="H34" t="s">
        <v>527</v>
      </c>
      <c r="I34" t="s">
        <v>346</v>
      </c>
      <c r="J34" t="s">
        <v>483</v>
      </c>
      <c r="K34" t="s">
        <v>527</v>
      </c>
      <c r="L34" t="s">
        <v>346</v>
      </c>
      <c r="M34" t="s">
        <v>27</v>
      </c>
      <c r="N34" t="s">
        <v>527</v>
      </c>
      <c r="O34" t="s">
        <v>346</v>
      </c>
      <c r="P34" t="s">
        <v>27</v>
      </c>
    </row>
    <row r="35" spans="1:16">
      <c r="A35" t="s">
        <v>106</v>
      </c>
      <c r="B35" t="s">
        <v>478</v>
      </c>
      <c r="C35" t="s">
        <v>345</v>
      </c>
      <c r="D35" t="s">
        <v>15</v>
      </c>
      <c r="E35" t="s">
        <v>478</v>
      </c>
      <c r="F35" t="s">
        <v>346</v>
      </c>
      <c r="G35" t="s">
        <v>15</v>
      </c>
      <c r="H35" t="s">
        <v>478</v>
      </c>
      <c r="I35" t="s">
        <v>346</v>
      </c>
      <c r="J35" t="s">
        <v>15</v>
      </c>
      <c r="K35" t="s">
        <v>676</v>
      </c>
      <c r="L35" t="s">
        <v>346</v>
      </c>
      <c r="M35" t="s">
        <v>84</v>
      </c>
      <c r="N35" t="s">
        <v>676</v>
      </c>
      <c r="O35" t="s">
        <v>346</v>
      </c>
      <c r="P35" t="s">
        <v>84</v>
      </c>
    </row>
    <row r="36" spans="1:16">
      <c r="A36" t="s">
        <v>347</v>
      </c>
      <c r="B36" t="s">
        <v>353</v>
      </c>
      <c r="C36" t="s">
        <v>346</v>
      </c>
      <c r="D36" t="s">
        <v>349</v>
      </c>
      <c r="E36" t="s">
        <v>353</v>
      </c>
      <c r="F36" t="s">
        <v>346</v>
      </c>
      <c r="G36" t="s">
        <v>120</v>
      </c>
      <c r="H36" t="s">
        <v>353</v>
      </c>
      <c r="I36" t="s">
        <v>346</v>
      </c>
      <c r="J36" t="s">
        <v>211</v>
      </c>
      <c r="K36" t="s">
        <v>353</v>
      </c>
      <c r="L36" t="s">
        <v>346</v>
      </c>
      <c r="M36" t="s">
        <v>198</v>
      </c>
      <c r="N36" t="s">
        <v>353</v>
      </c>
      <c r="O36" t="s">
        <v>345</v>
      </c>
      <c r="P36" t="s">
        <v>140</v>
      </c>
    </row>
    <row r="37" spans="1:16">
      <c r="A37" t="s">
        <v>113</v>
      </c>
      <c r="B37" t="s">
        <v>472</v>
      </c>
      <c r="C37" t="s">
        <v>346</v>
      </c>
      <c r="D37" t="s">
        <v>299</v>
      </c>
      <c r="E37" t="s">
        <v>472</v>
      </c>
      <c r="F37" t="s">
        <v>345</v>
      </c>
      <c r="G37" t="s">
        <v>244</v>
      </c>
      <c r="H37" t="s">
        <v>472</v>
      </c>
      <c r="I37" t="s">
        <v>346</v>
      </c>
      <c r="J37" t="s">
        <v>205</v>
      </c>
      <c r="K37" t="s">
        <v>472</v>
      </c>
      <c r="L37" t="s">
        <v>345</v>
      </c>
      <c r="M37" t="s">
        <v>21</v>
      </c>
      <c r="N37" t="s">
        <v>472</v>
      </c>
      <c r="O37" t="s">
        <v>345</v>
      </c>
      <c r="P37" t="s">
        <v>66</v>
      </c>
    </row>
    <row r="38" spans="1:16">
      <c r="A38" t="s">
        <v>120</v>
      </c>
      <c r="B38" t="s">
        <v>354</v>
      </c>
      <c r="C38" t="s">
        <v>346</v>
      </c>
      <c r="D38" t="s">
        <v>60</v>
      </c>
      <c r="E38" t="s">
        <v>354</v>
      </c>
      <c r="F38" t="s">
        <v>345</v>
      </c>
      <c r="G38" t="s">
        <v>347</v>
      </c>
      <c r="H38" t="s">
        <v>354</v>
      </c>
      <c r="I38" t="s">
        <v>346</v>
      </c>
      <c r="J38" t="s">
        <v>198</v>
      </c>
      <c r="K38" t="s">
        <v>354</v>
      </c>
      <c r="L38" t="s">
        <v>346</v>
      </c>
      <c r="M38" t="s">
        <v>34</v>
      </c>
      <c r="N38" t="s">
        <v>354</v>
      </c>
      <c r="O38" t="s">
        <v>345</v>
      </c>
      <c r="P38" t="s">
        <v>349</v>
      </c>
    </row>
    <row r="39" spans="1:16">
      <c r="A39" t="s">
        <v>127</v>
      </c>
      <c r="B39" t="s">
        <v>355</v>
      </c>
      <c r="C39" t="s">
        <v>345</v>
      </c>
      <c r="D39" t="s">
        <v>181</v>
      </c>
      <c r="E39" t="s">
        <v>355</v>
      </c>
      <c r="F39" t="s">
        <v>346</v>
      </c>
      <c r="G39" t="s">
        <v>95</v>
      </c>
      <c r="H39" t="s">
        <v>355</v>
      </c>
      <c r="I39" t="s">
        <v>346</v>
      </c>
      <c r="J39" t="s">
        <v>95</v>
      </c>
      <c r="K39" t="s">
        <v>355</v>
      </c>
      <c r="L39" t="s">
        <v>345</v>
      </c>
      <c r="M39" t="s">
        <v>95</v>
      </c>
      <c r="N39" t="s">
        <v>355</v>
      </c>
      <c r="O39" t="s">
        <v>346</v>
      </c>
      <c r="P39" t="s">
        <v>95</v>
      </c>
    </row>
    <row r="40" spans="1:16">
      <c r="A40" t="s">
        <v>541</v>
      </c>
      <c r="B40" t="s">
        <v>608</v>
      </c>
      <c r="C40" t="s">
        <v>345</v>
      </c>
      <c r="D40" t="s">
        <v>547</v>
      </c>
      <c r="E40" t="s">
        <v>608</v>
      </c>
      <c r="F40" t="s">
        <v>346</v>
      </c>
      <c r="G40" t="s">
        <v>547</v>
      </c>
      <c r="H40" t="s">
        <v>608</v>
      </c>
      <c r="I40" t="s">
        <v>345</v>
      </c>
      <c r="J40" t="s">
        <v>547</v>
      </c>
      <c r="K40" t="s">
        <v>608</v>
      </c>
      <c r="L40" t="s">
        <v>346</v>
      </c>
      <c r="M40" t="s">
        <v>547</v>
      </c>
      <c r="N40" t="s">
        <v>608</v>
      </c>
      <c r="O40" t="s">
        <v>346</v>
      </c>
      <c r="P40" t="s">
        <v>547</v>
      </c>
    </row>
    <row r="41" spans="1:16">
      <c r="A41" t="s">
        <v>21</v>
      </c>
      <c r="B41" t="s">
        <v>351</v>
      </c>
      <c r="C41" t="s">
        <v>346</v>
      </c>
      <c r="D41" t="s">
        <v>66</v>
      </c>
      <c r="E41" t="s">
        <v>351</v>
      </c>
      <c r="F41" t="s">
        <v>346</v>
      </c>
      <c r="G41" t="s">
        <v>205</v>
      </c>
      <c r="H41" t="s">
        <v>351</v>
      </c>
      <c r="I41" t="s">
        <v>346</v>
      </c>
      <c r="J41" t="s">
        <v>133</v>
      </c>
      <c r="K41" t="s">
        <v>351</v>
      </c>
      <c r="L41" t="s">
        <v>346</v>
      </c>
      <c r="M41" t="s">
        <v>113</v>
      </c>
      <c r="N41" t="s">
        <v>351</v>
      </c>
      <c r="O41" t="s">
        <v>346</v>
      </c>
      <c r="P41" t="s">
        <v>299</v>
      </c>
    </row>
    <row r="42" spans="1:16">
      <c r="A42" t="s">
        <v>133</v>
      </c>
      <c r="B42" t="s">
        <v>485</v>
      </c>
      <c r="C42" t="s">
        <v>345</v>
      </c>
      <c r="D42" t="s">
        <v>205</v>
      </c>
      <c r="E42" t="s">
        <v>485</v>
      </c>
      <c r="F42" t="s">
        <v>345</v>
      </c>
      <c r="G42" t="s">
        <v>234</v>
      </c>
      <c r="H42" t="s">
        <v>485</v>
      </c>
      <c r="I42" t="s">
        <v>345</v>
      </c>
      <c r="J42" t="s">
        <v>21</v>
      </c>
      <c r="K42" t="s">
        <v>485</v>
      </c>
      <c r="L42" t="s">
        <v>345</v>
      </c>
      <c r="M42" t="s">
        <v>244</v>
      </c>
      <c r="N42" t="s">
        <v>660</v>
      </c>
      <c r="O42" t="s">
        <v>345</v>
      </c>
      <c r="P42" t="s">
        <v>185</v>
      </c>
    </row>
    <row r="43" spans="1:16">
      <c r="A43" t="s">
        <v>140</v>
      </c>
      <c r="B43" t="s">
        <v>356</v>
      </c>
      <c r="C43" t="s">
        <v>346</v>
      </c>
      <c r="D43" t="s">
        <v>34</v>
      </c>
      <c r="E43" t="s">
        <v>627</v>
      </c>
      <c r="F43" t="s">
        <v>345</v>
      </c>
      <c r="G43" t="s">
        <v>60</v>
      </c>
      <c r="H43" t="s">
        <v>627</v>
      </c>
      <c r="I43" t="s">
        <v>346</v>
      </c>
      <c r="J43" t="s">
        <v>222</v>
      </c>
      <c r="K43" t="s">
        <v>356</v>
      </c>
      <c r="L43" t="s">
        <v>346</v>
      </c>
      <c r="M43" t="s">
        <v>348</v>
      </c>
      <c r="N43" t="s">
        <v>356</v>
      </c>
      <c r="O43" t="s">
        <v>346</v>
      </c>
      <c r="P43" t="s">
        <v>347</v>
      </c>
    </row>
    <row r="44" spans="1:16">
      <c r="A44" t="s">
        <v>147</v>
      </c>
      <c r="B44" t="s">
        <v>473</v>
      </c>
      <c r="C44" t="s">
        <v>345</v>
      </c>
      <c r="D44" t="s">
        <v>244</v>
      </c>
      <c r="E44" t="s">
        <v>473</v>
      </c>
      <c r="F44" t="s">
        <v>345</v>
      </c>
      <c r="G44" t="s">
        <v>299</v>
      </c>
      <c r="H44" t="s">
        <v>473</v>
      </c>
      <c r="I44" t="s">
        <v>346</v>
      </c>
      <c r="J44" t="s">
        <v>234</v>
      </c>
      <c r="K44" t="s">
        <v>473</v>
      </c>
      <c r="L44" t="s">
        <v>346</v>
      </c>
      <c r="M44" t="s">
        <v>185</v>
      </c>
      <c r="N44" t="s">
        <v>473</v>
      </c>
      <c r="O44" t="s">
        <v>345</v>
      </c>
      <c r="P44" t="s">
        <v>205</v>
      </c>
    </row>
    <row r="45" spans="1:16">
      <c r="A45" t="s">
        <v>152</v>
      </c>
      <c r="B45" t="s">
        <v>533</v>
      </c>
      <c r="C45" t="s">
        <v>346</v>
      </c>
      <c r="D45" t="s">
        <v>216</v>
      </c>
      <c r="E45" t="s">
        <v>533</v>
      </c>
      <c r="F45" t="s">
        <v>345</v>
      </c>
      <c r="G45" t="s">
        <v>157</v>
      </c>
      <c r="H45" t="s">
        <v>533</v>
      </c>
      <c r="I45" t="s">
        <v>345</v>
      </c>
      <c r="J45" t="s">
        <v>157</v>
      </c>
      <c r="K45" t="s">
        <v>533</v>
      </c>
      <c r="L45" t="s">
        <v>345</v>
      </c>
      <c r="M45" t="s">
        <v>229</v>
      </c>
      <c r="N45" t="s">
        <v>533</v>
      </c>
      <c r="O45" t="s">
        <v>345</v>
      </c>
      <c r="P45" t="s">
        <v>229</v>
      </c>
    </row>
    <row r="46" spans="1:16">
      <c r="A46" t="s">
        <v>157</v>
      </c>
      <c r="B46" t="s">
        <v>534</v>
      </c>
      <c r="C46" t="s">
        <v>346</v>
      </c>
      <c r="D46" t="s">
        <v>229</v>
      </c>
      <c r="E46" t="s">
        <v>661</v>
      </c>
      <c r="F46" t="s">
        <v>346</v>
      </c>
      <c r="G46" t="s">
        <v>152</v>
      </c>
      <c r="H46" t="s">
        <v>661</v>
      </c>
      <c r="I46" t="s">
        <v>346</v>
      </c>
      <c r="J46" t="s">
        <v>152</v>
      </c>
      <c r="K46" t="s">
        <v>661</v>
      </c>
      <c r="L46" t="s">
        <v>345</v>
      </c>
      <c r="M46" t="s">
        <v>84</v>
      </c>
      <c r="N46" t="s">
        <v>661</v>
      </c>
      <c r="O46" t="s">
        <v>345</v>
      </c>
      <c r="P46" t="s">
        <v>84</v>
      </c>
    </row>
    <row r="47" spans="1:16">
      <c r="A47" t="s">
        <v>168</v>
      </c>
      <c r="B47" t="s">
        <v>357</v>
      </c>
      <c r="C47" t="s">
        <v>346</v>
      </c>
      <c r="D47" t="s">
        <v>337</v>
      </c>
      <c r="E47" t="s">
        <v>357</v>
      </c>
      <c r="F47" t="s">
        <v>345</v>
      </c>
      <c r="G47" t="s">
        <v>337</v>
      </c>
      <c r="H47" t="s">
        <v>357</v>
      </c>
      <c r="I47" t="s">
        <v>346</v>
      </c>
      <c r="J47" t="s">
        <v>337</v>
      </c>
      <c r="K47" t="s">
        <v>357</v>
      </c>
      <c r="L47" t="s">
        <v>345</v>
      </c>
      <c r="M47" t="s">
        <v>78</v>
      </c>
      <c r="N47" t="s">
        <v>357</v>
      </c>
      <c r="O47" t="s">
        <v>345</v>
      </c>
      <c r="P47" t="s">
        <v>78</v>
      </c>
    </row>
    <row r="48" spans="1:16">
      <c r="A48" t="s">
        <v>174</v>
      </c>
      <c r="B48" t="s">
        <v>358</v>
      </c>
      <c r="C48" t="s">
        <v>346</v>
      </c>
      <c r="D48" t="s">
        <v>102</v>
      </c>
      <c r="E48" t="s">
        <v>358</v>
      </c>
      <c r="F48" t="s">
        <v>345</v>
      </c>
      <c r="G48" t="s">
        <v>102</v>
      </c>
      <c r="H48" t="s">
        <v>358</v>
      </c>
      <c r="I48" t="s">
        <v>346</v>
      </c>
      <c r="J48" t="s">
        <v>102</v>
      </c>
      <c r="K48" t="s">
        <v>433</v>
      </c>
      <c r="L48" t="s">
        <v>345</v>
      </c>
      <c r="M48" t="s">
        <v>102</v>
      </c>
      <c r="N48" t="s">
        <v>433</v>
      </c>
      <c r="O48" t="s">
        <v>346</v>
      </c>
      <c r="P48" t="s">
        <v>102</v>
      </c>
    </row>
    <row r="49" spans="1:16">
      <c r="A49" t="s">
        <v>181</v>
      </c>
      <c r="B49" t="s">
        <v>486</v>
      </c>
      <c r="C49" t="s">
        <v>346</v>
      </c>
      <c r="D49" t="s">
        <v>95</v>
      </c>
      <c r="E49" t="s">
        <v>486</v>
      </c>
      <c r="F49" t="s">
        <v>346</v>
      </c>
      <c r="G49" t="s">
        <v>477</v>
      </c>
      <c r="H49" t="s">
        <v>486</v>
      </c>
      <c r="I49" t="s">
        <v>346</v>
      </c>
      <c r="J49" t="s">
        <v>477</v>
      </c>
      <c r="K49" t="s">
        <v>622</v>
      </c>
      <c r="L49" t="s">
        <v>346</v>
      </c>
      <c r="M49" t="s">
        <v>127</v>
      </c>
      <c r="N49" t="s">
        <v>486</v>
      </c>
      <c r="O49" t="s">
        <v>346</v>
      </c>
      <c r="P49" t="s">
        <v>127</v>
      </c>
    </row>
    <row r="50" spans="1:16">
      <c r="A50" t="s">
        <v>412</v>
      </c>
      <c r="B50" t="s">
        <v>422</v>
      </c>
      <c r="C50" t="s">
        <v>346</v>
      </c>
      <c r="D50" t="s">
        <v>419</v>
      </c>
      <c r="E50" t="s">
        <v>422</v>
      </c>
      <c r="F50" t="s">
        <v>346</v>
      </c>
      <c r="G50" t="s">
        <v>408</v>
      </c>
      <c r="H50" t="s">
        <v>422</v>
      </c>
      <c r="I50" t="s">
        <v>345</v>
      </c>
      <c r="J50" t="s">
        <v>394</v>
      </c>
      <c r="K50" t="s">
        <v>422</v>
      </c>
      <c r="L50" t="s">
        <v>345</v>
      </c>
      <c r="M50" t="s">
        <v>416</v>
      </c>
      <c r="N50" t="s">
        <v>422</v>
      </c>
      <c r="O50" t="s">
        <v>346</v>
      </c>
      <c r="P50" t="s">
        <v>404</v>
      </c>
    </row>
    <row r="51" spans="1:16">
      <c r="A51" t="s">
        <v>419</v>
      </c>
      <c r="B51" t="s">
        <v>536</v>
      </c>
      <c r="C51" t="s">
        <v>345</v>
      </c>
      <c r="D51" t="s">
        <v>412</v>
      </c>
      <c r="E51" t="s">
        <v>536</v>
      </c>
      <c r="F51" t="s">
        <v>345</v>
      </c>
      <c r="G51" t="s">
        <v>416</v>
      </c>
      <c r="H51" t="s">
        <v>536</v>
      </c>
      <c r="I51" t="s">
        <v>346</v>
      </c>
      <c r="J51" t="s">
        <v>404</v>
      </c>
      <c r="K51" t="s">
        <v>536</v>
      </c>
      <c r="L51" t="s">
        <v>346</v>
      </c>
      <c r="M51" t="s">
        <v>397</v>
      </c>
      <c r="N51" t="s">
        <v>536</v>
      </c>
      <c r="O51" t="s">
        <v>346</v>
      </c>
      <c r="P51" t="s">
        <v>465</v>
      </c>
    </row>
    <row r="52" spans="1:16">
      <c r="A52" t="s">
        <v>397</v>
      </c>
      <c r="B52" t="s">
        <v>531</v>
      </c>
      <c r="C52" t="s">
        <v>345</v>
      </c>
      <c r="D52" t="s">
        <v>404</v>
      </c>
      <c r="E52" t="s">
        <v>531</v>
      </c>
      <c r="F52" t="s">
        <v>346</v>
      </c>
      <c r="G52" t="s">
        <v>394</v>
      </c>
      <c r="H52" t="s">
        <v>531</v>
      </c>
      <c r="I52" t="s">
        <v>345</v>
      </c>
      <c r="J52" t="s">
        <v>465</v>
      </c>
      <c r="K52" t="s">
        <v>531</v>
      </c>
      <c r="L52" t="s">
        <v>345</v>
      </c>
      <c r="M52" t="s">
        <v>419</v>
      </c>
      <c r="N52" t="s">
        <v>531</v>
      </c>
      <c r="O52" t="s">
        <v>345</v>
      </c>
      <c r="P52" t="s">
        <v>408</v>
      </c>
    </row>
    <row r="53" spans="1:16">
      <c r="A53" t="s">
        <v>229</v>
      </c>
      <c r="B53" t="s">
        <v>537</v>
      </c>
      <c r="C53" t="s">
        <v>345</v>
      </c>
      <c r="D53" t="s">
        <v>192</v>
      </c>
      <c r="E53" t="s">
        <v>537</v>
      </c>
      <c r="F53" t="s">
        <v>346</v>
      </c>
      <c r="G53" t="s">
        <v>192</v>
      </c>
      <c r="H53" t="s">
        <v>537</v>
      </c>
      <c r="I53" t="s">
        <v>346</v>
      </c>
      <c r="J53" t="s">
        <v>192</v>
      </c>
      <c r="K53" t="s">
        <v>537</v>
      </c>
      <c r="L53" t="s">
        <v>346</v>
      </c>
      <c r="M53" t="s">
        <v>152</v>
      </c>
      <c r="N53" t="s">
        <v>537</v>
      </c>
      <c r="O53" t="s">
        <v>346</v>
      </c>
      <c r="P53" t="s">
        <v>152</v>
      </c>
    </row>
    <row r="54" spans="1:16">
      <c r="A54" t="s">
        <v>192</v>
      </c>
      <c r="B54" t="s">
        <v>359</v>
      </c>
      <c r="C54" t="s">
        <v>346</v>
      </c>
      <c r="D54" t="s">
        <v>229</v>
      </c>
      <c r="E54" t="s">
        <v>359</v>
      </c>
      <c r="F54" t="s">
        <v>345</v>
      </c>
      <c r="G54" t="s">
        <v>229</v>
      </c>
      <c r="H54" t="s">
        <v>359</v>
      </c>
      <c r="I54" t="s">
        <v>345</v>
      </c>
      <c r="J54" t="s">
        <v>229</v>
      </c>
      <c r="K54" t="s">
        <v>671</v>
      </c>
      <c r="L54" t="s">
        <v>345</v>
      </c>
      <c r="M54" t="s">
        <v>216</v>
      </c>
      <c r="N54" t="s">
        <v>671</v>
      </c>
      <c r="O54" t="s">
        <v>345</v>
      </c>
      <c r="P54" t="s">
        <v>216</v>
      </c>
    </row>
    <row r="55" spans="1:16">
      <c r="A55" t="s">
        <v>198</v>
      </c>
      <c r="B55" t="s">
        <v>474</v>
      </c>
      <c r="C55" t="s">
        <v>345</v>
      </c>
      <c r="D55" t="s">
        <v>222</v>
      </c>
      <c r="E55" t="s">
        <v>628</v>
      </c>
      <c r="F55" t="s">
        <v>345</v>
      </c>
      <c r="G55" t="s">
        <v>349</v>
      </c>
      <c r="H55" t="s">
        <v>474</v>
      </c>
      <c r="I55" t="s">
        <v>345</v>
      </c>
      <c r="J55" t="s">
        <v>120</v>
      </c>
      <c r="K55" t="s">
        <v>672</v>
      </c>
      <c r="L55" t="s">
        <v>345</v>
      </c>
      <c r="M55" t="s">
        <v>347</v>
      </c>
      <c r="N55" t="s">
        <v>628</v>
      </c>
      <c r="O55" t="s">
        <v>346</v>
      </c>
      <c r="P55" t="s">
        <v>211</v>
      </c>
    </row>
    <row r="56" spans="1:16">
      <c r="A56" t="s">
        <v>205</v>
      </c>
      <c r="B56" t="s">
        <v>528</v>
      </c>
      <c r="C56" t="s">
        <v>346</v>
      </c>
      <c r="D56" t="s">
        <v>133</v>
      </c>
      <c r="E56" t="s">
        <v>528</v>
      </c>
      <c r="F56" t="s">
        <v>345</v>
      </c>
      <c r="G56" t="s">
        <v>21</v>
      </c>
      <c r="H56" t="s">
        <v>528</v>
      </c>
      <c r="I56" t="s">
        <v>345</v>
      </c>
      <c r="J56" t="s">
        <v>113</v>
      </c>
      <c r="K56" t="s">
        <v>528</v>
      </c>
      <c r="L56" t="s">
        <v>346</v>
      </c>
      <c r="M56" t="s">
        <v>66</v>
      </c>
      <c r="N56" t="s">
        <v>528</v>
      </c>
      <c r="O56" t="s">
        <v>346</v>
      </c>
      <c r="P56" t="s">
        <v>147</v>
      </c>
    </row>
    <row r="57" spans="1:16">
      <c r="A57" t="s">
        <v>337</v>
      </c>
      <c r="B57" t="s">
        <v>479</v>
      </c>
      <c r="C57" t="s">
        <v>345</v>
      </c>
      <c r="D57" t="s">
        <v>168</v>
      </c>
      <c r="E57" t="s">
        <v>479</v>
      </c>
      <c r="F57" t="s">
        <v>346</v>
      </c>
      <c r="G57" t="s">
        <v>168</v>
      </c>
      <c r="H57" t="s">
        <v>479</v>
      </c>
      <c r="I57" t="s">
        <v>345</v>
      </c>
      <c r="J57" t="s">
        <v>168</v>
      </c>
      <c r="K57" t="s">
        <v>479</v>
      </c>
      <c r="L57" t="s">
        <v>345</v>
      </c>
      <c r="M57" t="s">
        <v>54</v>
      </c>
      <c r="N57" t="s">
        <v>479</v>
      </c>
      <c r="O57" t="s">
        <v>345</v>
      </c>
      <c r="P57" t="s">
        <v>54</v>
      </c>
    </row>
    <row r="58" spans="1:16">
      <c r="A58" t="s">
        <v>211</v>
      </c>
      <c r="B58" t="s">
        <v>480</v>
      </c>
      <c r="C58" t="s">
        <v>346</v>
      </c>
      <c r="D58" t="s">
        <v>348</v>
      </c>
      <c r="E58" t="s">
        <v>629</v>
      </c>
      <c r="F58" t="s">
        <v>346</v>
      </c>
      <c r="G58" t="s">
        <v>222</v>
      </c>
      <c r="H58" t="s">
        <v>629</v>
      </c>
      <c r="I58" t="s">
        <v>345</v>
      </c>
      <c r="J58" t="s">
        <v>347</v>
      </c>
      <c r="K58" t="s">
        <v>629</v>
      </c>
      <c r="L58" t="s">
        <v>345</v>
      </c>
      <c r="M58" t="s">
        <v>60</v>
      </c>
      <c r="N58" t="s">
        <v>629</v>
      </c>
      <c r="O58" t="s">
        <v>345</v>
      </c>
      <c r="P58" t="s">
        <v>198</v>
      </c>
    </row>
    <row r="59" spans="1:16">
      <c r="A59" t="s">
        <v>216</v>
      </c>
      <c r="B59" t="s">
        <v>487</v>
      </c>
      <c r="C59" t="s">
        <v>345</v>
      </c>
      <c r="D59" t="s">
        <v>152</v>
      </c>
      <c r="E59" t="s">
        <v>662</v>
      </c>
      <c r="F59" t="s">
        <v>346</v>
      </c>
      <c r="G59" t="s">
        <v>84</v>
      </c>
      <c r="H59" t="s">
        <v>471</v>
      </c>
      <c r="I59" t="s">
        <v>345</v>
      </c>
      <c r="J59" t="s">
        <v>84</v>
      </c>
      <c r="K59" t="s">
        <v>673</v>
      </c>
      <c r="L59" t="s">
        <v>346</v>
      </c>
      <c r="M59" t="s">
        <v>192</v>
      </c>
      <c r="N59" t="s">
        <v>487</v>
      </c>
      <c r="O59" t="s">
        <v>346</v>
      </c>
      <c r="P59" t="s">
        <v>192</v>
      </c>
    </row>
    <row r="60" spans="1:16">
      <c r="A60" t="s">
        <v>222</v>
      </c>
      <c r="B60" t="s">
        <v>360</v>
      </c>
      <c r="C60" t="s">
        <v>346</v>
      </c>
      <c r="D60" t="s">
        <v>198</v>
      </c>
      <c r="E60" t="s">
        <v>360</v>
      </c>
      <c r="F60" t="s">
        <v>345</v>
      </c>
      <c r="G60" t="s">
        <v>211</v>
      </c>
      <c r="H60" t="s">
        <v>360</v>
      </c>
      <c r="I60" t="s">
        <v>345</v>
      </c>
      <c r="J60" t="s">
        <v>140</v>
      </c>
      <c r="K60" t="s">
        <v>360</v>
      </c>
      <c r="L60" t="s">
        <v>345</v>
      </c>
      <c r="M60" t="s">
        <v>349</v>
      </c>
      <c r="N60" t="s">
        <v>360</v>
      </c>
      <c r="O60" t="s">
        <v>346</v>
      </c>
      <c r="P60" t="s">
        <v>348</v>
      </c>
    </row>
    <row r="61" spans="1:16">
      <c r="A61" t="s">
        <v>185</v>
      </c>
      <c r="B61" t="s">
        <v>361</v>
      </c>
      <c r="C61" t="s">
        <v>345</v>
      </c>
      <c r="D61" t="s">
        <v>234</v>
      </c>
      <c r="E61" t="s">
        <v>361</v>
      </c>
      <c r="F61" t="s">
        <v>345</v>
      </c>
      <c r="G61" t="s">
        <v>66</v>
      </c>
      <c r="H61" t="s">
        <v>361</v>
      </c>
      <c r="I61" t="s">
        <v>345</v>
      </c>
      <c r="J61" t="s">
        <v>299</v>
      </c>
      <c r="K61" t="s">
        <v>361</v>
      </c>
      <c r="L61" t="s">
        <v>345</v>
      </c>
      <c r="M61" t="s">
        <v>147</v>
      </c>
      <c r="N61" t="s">
        <v>361</v>
      </c>
      <c r="O61" t="s">
        <v>346</v>
      </c>
      <c r="P61" t="s">
        <v>133</v>
      </c>
    </row>
    <row r="62" spans="1:16">
      <c r="A62" t="s">
        <v>234</v>
      </c>
      <c r="B62" t="s">
        <v>529</v>
      </c>
      <c r="C62" t="s">
        <v>346</v>
      </c>
      <c r="D62" t="s">
        <v>185</v>
      </c>
      <c r="E62" t="s">
        <v>362</v>
      </c>
      <c r="F62" t="s">
        <v>346</v>
      </c>
      <c r="G62" t="s">
        <v>133</v>
      </c>
      <c r="H62" t="s">
        <v>362</v>
      </c>
      <c r="I62" t="s">
        <v>345</v>
      </c>
      <c r="J62" t="s">
        <v>147</v>
      </c>
      <c r="K62" t="s">
        <v>362</v>
      </c>
      <c r="L62" t="s">
        <v>346</v>
      </c>
      <c r="M62" t="s">
        <v>299</v>
      </c>
      <c r="N62" t="s">
        <v>362</v>
      </c>
      <c r="O62" t="s">
        <v>345</v>
      </c>
      <c r="P62" t="s">
        <v>244</v>
      </c>
    </row>
    <row r="63" spans="1:16">
      <c r="A63" t="s">
        <v>465</v>
      </c>
      <c r="B63" t="s">
        <v>633</v>
      </c>
      <c r="C63" t="s">
        <v>345</v>
      </c>
      <c r="D63" t="s">
        <v>416</v>
      </c>
      <c r="E63" t="s">
        <v>633</v>
      </c>
      <c r="F63" t="s">
        <v>346</v>
      </c>
      <c r="G63" t="s">
        <v>404</v>
      </c>
      <c r="H63" t="s">
        <v>633</v>
      </c>
      <c r="I63" t="s">
        <v>346</v>
      </c>
      <c r="J63" t="s">
        <v>397</v>
      </c>
      <c r="K63" t="s">
        <v>633</v>
      </c>
      <c r="L63" t="s">
        <v>346</v>
      </c>
      <c r="M63" t="s">
        <v>394</v>
      </c>
      <c r="N63" t="s">
        <v>633</v>
      </c>
      <c r="O63" t="s">
        <v>345</v>
      </c>
      <c r="P63" t="s">
        <v>419</v>
      </c>
    </row>
    <row r="64" spans="1:16">
      <c r="A64" t="s">
        <v>239</v>
      </c>
      <c r="B64" t="s">
        <v>538</v>
      </c>
      <c r="C64" t="s">
        <v>345</v>
      </c>
      <c r="D64" t="s">
        <v>15</v>
      </c>
      <c r="E64" t="s">
        <v>538</v>
      </c>
      <c r="F64" t="s">
        <v>345</v>
      </c>
      <c r="G64" t="s">
        <v>15</v>
      </c>
      <c r="H64" t="s">
        <v>677</v>
      </c>
      <c r="I64" t="s">
        <v>346</v>
      </c>
      <c r="J64" t="s">
        <v>54</v>
      </c>
      <c r="K64" t="s">
        <v>678</v>
      </c>
      <c r="L64" t="s">
        <v>345</v>
      </c>
      <c r="M64" t="s">
        <v>54</v>
      </c>
      <c r="N64" t="s">
        <v>678</v>
      </c>
      <c r="O64" t="s">
        <v>345</v>
      </c>
      <c r="P64" t="s">
        <v>54</v>
      </c>
    </row>
    <row r="65" spans="1:16">
      <c r="A65" t="s">
        <v>483</v>
      </c>
      <c r="B65" t="s">
        <v>539</v>
      </c>
      <c r="C65" t="s">
        <v>345</v>
      </c>
      <c r="D65" t="s">
        <v>2</v>
      </c>
      <c r="E65" t="s">
        <v>484</v>
      </c>
      <c r="F65" t="s">
        <v>345</v>
      </c>
      <c r="G65" t="s">
        <v>102</v>
      </c>
      <c r="H65" t="s">
        <v>484</v>
      </c>
      <c r="I65" t="s">
        <v>345</v>
      </c>
      <c r="J65" t="s">
        <v>102</v>
      </c>
      <c r="K65" t="s">
        <v>484</v>
      </c>
      <c r="L65" t="s">
        <v>346</v>
      </c>
      <c r="M65" t="s">
        <v>95</v>
      </c>
      <c r="N65" t="s">
        <v>484</v>
      </c>
      <c r="O65" t="s">
        <v>346</v>
      </c>
      <c r="P65" t="s">
        <v>95</v>
      </c>
    </row>
    <row r="66" spans="1:16">
      <c r="A66" t="s">
        <v>244</v>
      </c>
      <c r="B66" t="s">
        <v>475</v>
      </c>
      <c r="C66" t="s">
        <v>346</v>
      </c>
      <c r="D66" t="s">
        <v>147</v>
      </c>
      <c r="E66" t="s">
        <v>475</v>
      </c>
      <c r="F66" t="s">
        <v>346</v>
      </c>
      <c r="G66" t="s">
        <v>113</v>
      </c>
      <c r="H66" t="s">
        <v>475</v>
      </c>
      <c r="I66" t="s">
        <v>346</v>
      </c>
      <c r="J66" t="s">
        <v>66</v>
      </c>
      <c r="K66" t="s">
        <v>475</v>
      </c>
      <c r="L66" t="s">
        <v>346</v>
      </c>
      <c r="M66" t="s">
        <v>133</v>
      </c>
      <c r="N66" t="s">
        <v>475</v>
      </c>
      <c r="O66" t="s">
        <v>346</v>
      </c>
      <c r="P66" t="s">
        <v>234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5:AO122"/>
  <sheetViews>
    <sheetView zoomScale="99" workbookViewId="0">
      <selection activeCell="V25" sqref="V25"/>
    </sheetView>
  </sheetViews>
  <sheetFormatPr defaultColWidth="10.875" defaultRowHeight="15.75"/>
  <cols>
    <col min="1" max="1" width="3" style="22" customWidth="1"/>
    <col min="2" max="2" width="19" style="22" bestFit="1" customWidth="1"/>
    <col min="3" max="3" width="6.875" style="22" customWidth="1"/>
    <col min="4" max="4" width="14.625" style="22" customWidth="1"/>
    <col min="5" max="5" width="5.125" style="22" bestFit="1" customWidth="1"/>
    <col min="6" max="6" width="6.875" style="22" bestFit="1" customWidth="1"/>
    <col min="7" max="7" width="5.125" style="22" bestFit="1" customWidth="1"/>
    <col min="8" max="8" width="14.625" style="22" customWidth="1"/>
    <col min="9" max="9" width="5.125" style="22" bestFit="1" customWidth="1"/>
    <col min="10" max="10" width="6.875" style="22" bestFit="1" customWidth="1"/>
    <col min="11" max="11" width="5.125" style="22" bestFit="1" customWidth="1"/>
    <col min="12" max="12" width="14.625" style="22" customWidth="1"/>
    <col min="13" max="13" width="5.125" style="22" bestFit="1" customWidth="1"/>
    <col min="14" max="14" width="6.875" style="22" bestFit="1" customWidth="1"/>
    <col min="15" max="15" width="5.125" style="22" bestFit="1" customWidth="1"/>
    <col min="16" max="16" width="14.625" style="22" customWidth="1"/>
    <col min="17" max="17" width="5.125" style="22" bestFit="1" customWidth="1"/>
    <col min="18" max="18" width="6.625" style="22" bestFit="1" customWidth="1"/>
    <col min="19" max="19" width="6.625" style="22" customWidth="1"/>
    <col min="20" max="20" width="14.625" style="22" customWidth="1"/>
    <col min="21" max="21" width="5.125" style="22" bestFit="1" customWidth="1"/>
    <col min="22" max="22" width="6.875" style="22" bestFit="1" customWidth="1"/>
    <col min="23" max="23" width="5.125" style="22" bestFit="1" customWidth="1"/>
    <col min="24" max="24" width="10.875" style="22"/>
    <col min="25" max="25" width="15.125" style="22" bestFit="1" customWidth="1"/>
    <col min="26" max="26" width="9.375" style="22" bestFit="1" customWidth="1"/>
    <col min="27" max="27" width="11.375" style="22" bestFit="1" customWidth="1"/>
    <col min="28" max="28" width="6.625" style="48" bestFit="1" customWidth="1"/>
    <col min="29" max="29" width="5.125" style="48" bestFit="1" customWidth="1"/>
    <col min="30" max="30" width="11" style="22" bestFit="1" customWidth="1"/>
    <col min="31" max="31" width="6.625" style="48" bestFit="1" customWidth="1"/>
    <col min="32" max="32" width="5.125" style="48" bestFit="1" customWidth="1"/>
    <col min="33" max="33" width="9.375" style="22" bestFit="1" customWidth="1"/>
    <col min="34" max="34" width="6.625" style="48" bestFit="1" customWidth="1"/>
    <col min="35" max="35" width="5.125" style="48" bestFit="1" customWidth="1"/>
    <col min="36" max="36" width="11.375" style="22" bestFit="1" customWidth="1"/>
    <col min="37" max="37" width="6.625" style="48" bestFit="1" customWidth="1"/>
    <col min="38" max="38" width="5.125" style="48" bestFit="1" customWidth="1"/>
    <col min="39" max="39" width="9.625" style="22" bestFit="1" customWidth="1"/>
    <col min="40" max="40" width="6.625" style="48" bestFit="1" customWidth="1"/>
    <col min="41" max="41" width="5.125" style="48" bestFit="1" customWidth="1"/>
    <col min="42" max="16384" width="10.875" style="22"/>
  </cols>
  <sheetData>
    <row r="5" spans="2:41" ht="18.75">
      <c r="B5" s="115" t="s">
        <v>283</v>
      </c>
      <c r="C5" s="115"/>
      <c r="D5" s="115"/>
      <c r="E5" s="115"/>
      <c r="F5" s="115"/>
      <c r="G5" s="115"/>
      <c r="H5" s="115"/>
      <c r="I5" s="115"/>
      <c r="J5" s="115"/>
      <c r="K5" s="115"/>
      <c r="L5" s="115"/>
      <c r="M5" s="115"/>
      <c r="N5" s="115"/>
      <c r="O5" s="115"/>
      <c r="P5" s="115"/>
      <c r="Q5" s="115"/>
      <c r="R5" s="115"/>
      <c r="S5" s="115"/>
      <c r="T5" s="115"/>
      <c r="U5" s="115"/>
      <c r="V5" s="115"/>
      <c r="W5" s="115"/>
      <c r="Y5" s="111" t="s">
        <v>283</v>
      </c>
      <c r="Z5" s="111"/>
      <c r="AA5" s="111"/>
      <c r="AB5" s="111"/>
      <c r="AC5" s="111"/>
      <c r="AD5" s="111"/>
      <c r="AE5" s="111"/>
      <c r="AF5" s="111"/>
      <c r="AG5" s="111"/>
      <c r="AH5" s="111"/>
      <c r="AI5" s="111"/>
      <c r="AJ5" s="111"/>
      <c r="AK5" s="111"/>
      <c r="AL5" s="111"/>
      <c r="AM5" s="111"/>
      <c r="AN5" s="111"/>
      <c r="AO5" s="111"/>
    </row>
    <row r="6" spans="2:41">
      <c r="B6" s="116" t="s">
        <v>290</v>
      </c>
      <c r="C6" s="116" t="s">
        <v>387</v>
      </c>
      <c r="D6" s="118" t="s">
        <v>292</v>
      </c>
      <c r="E6" s="119"/>
      <c r="F6" s="119"/>
      <c r="G6" s="120"/>
      <c r="H6" s="118" t="s">
        <v>291</v>
      </c>
      <c r="I6" s="119"/>
      <c r="J6" s="119"/>
      <c r="K6" s="120"/>
      <c r="L6" s="118" t="s">
        <v>293</v>
      </c>
      <c r="M6" s="119"/>
      <c r="N6" s="119"/>
      <c r="O6" s="120"/>
      <c r="P6" s="118" t="s">
        <v>294</v>
      </c>
      <c r="Q6" s="119"/>
      <c r="R6" s="119"/>
      <c r="S6" s="120"/>
      <c r="T6" s="111" t="s">
        <v>295</v>
      </c>
      <c r="U6" s="111"/>
      <c r="V6" s="111"/>
      <c r="W6" s="111"/>
      <c r="Y6" s="116" t="s">
        <v>290</v>
      </c>
      <c r="Z6" s="116" t="s">
        <v>318</v>
      </c>
      <c r="AA6" s="118" t="s">
        <v>292</v>
      </c>
      <c r="AB6" s="119"/>
      <c r="AC6" s="120"/>
      <c r="AD6" s="118" t="s">
        <v>291</v>
      </c>
      <c r="AE6" s="119"/>
      <c r="AF6" s="120"/>
      <c r="AG6" s="118" t="s">
        <v>293</v>
      </c>
      <c r="AH6" s="119"/>
      <c r="AI6" s="120"/>
      <c r="AJ6" s="118" t="s">
        <v>294</v>
      </c>
      <c r="AK6" s="119"/>
      <c r="AL6" s="120"/>
      <c r="AM6" s="118" t="s">
        <v>295</v>
      </c>
      <c r="AN6" s="119"/>
      <c r="AO6" s="120"/>
    </row>
    <row r="7" spans="2:41" s="24" customFormat="1">
      <c r="B7" s="117"/>
      <c r="C7" s="117"/>
      <c r="D7" s="28" t="s">
        <v>255</v>
      </c>
      <c r="E7" s="27" t="s">
        <v>256</v>
      </c>
      <c r="F7" s="27" t="s">
        <v>257</v>
      </c>
      <c r="G7" s="27" t="s">
        <v>296</v>
      </c>
      <c r="H7" s="28" t="s">
        <v>255</v>
      </c>
      <c r="I7" s="27" t="s">
        <v>256</v>
      </c>
      <c r="J7" s="27" t="s">
        <v>257</v>
      </c>
      <c r="K7" s="27" t="s">
        <v>296</v>
      </c>
      <c r="L7" s="28" t="s">
        <v>255</v>
      </c>
      <c r="M7" s="27" t="s">
        <v>256</v>
      </c>
      <c r="N7" s="27" t="s">
        <v>257</v>
      </c>
      <c r="O7" s="31" t="s">
        <v>296</v>
      </c>
      <c r="P7" s="28" t="s">
        <v>255</v>
      </c>
      <c r="Q7" s="27" t="s">
        <v>256</v>
      </c>
      <c r="R7" s="27" t="s">
        <v>257</v>
      </c>
      <c r="S7" s="31" t="s">
        <v>296</v>
      </c>
      <c r="T7" s="28" t="s">
        <v>255</v>
      </c>
      <c r="U7" s="27" t="s">
        <v>256</v>
      </c>
      <c r="V7" s="27" t="s">
        <v>257</v>
      </c>
      <c r="W7" s="31" t="s">
        <v>296</v>
      </c>
      <c r="Y7" s="117"/>
      <c r="Z7" s="117"/>
      <c r="AA7" s="28" t="s">
        <v>255</v>
      </c>
      <c r="AB7" s="46" t="s">
        <v>257</v>
      </c>
      <c r="AC7" s="46" t="s">
        <v>296</v>
      </c>
      <c r="AD7" s="28" t="s">
        <v>255</v>
      </c>
      <c r="AE7" s="46" t="s">
        <v>257</v>
      </c>
      <c r="AF7" s="46" t="s">
        <v>296</v>
      </c>
      <c r="AG7" s="28" t="s">
        <v>255</v>
      </c>
      <c r="AH7" s="46" t="s">
        <v>257</v>
      </c>
      <c r="AI7" s="46" t="s">
        <v>296</v>
      </c>
      <c r="AJ7" s="28" t="s">
        <v>255</v>
      </c>
      <c r="AK7" s="46" t="s">
        <v>257</v>
      </c>
      <c r="AL7" s="46" t="s">
        <v>296</v>
      </c>
      <c r="AM7" s="28" t="s">
        <v>255</v>
      </c>
      <c r="AN7" s="46" t="s">
        <v>257</v>
      </c>
      <c r="AO7" s="46" t="s">
        <v>296</v>
      </c>
    </row>
    <row r="8" spans="2:41">
      <c r="B8" s="25" t="str">
        <f>EU!A3</f>
        <v>Fnatic</v>
      </c>
      <c r="C8" s="25" t="str">
        <f>EU!B3</f>
        <v>FNC</v>
      </c>
      <c r="D8" s="25" t="str">
        <f>EU!C3</f>
        <v>sOAZ</v>
      </c>
      <c r="E8" s="26">
        <f>EU!H18</f>
        <v>1584</v>
      </c>
      <c r="F8" s="26">
        <f>SUM(EU!F18:G18)</f>
        <v>340</v>
      </c>
      <c r="G8" s="26">
        <f>RANK(E8,$E$8:$E$17)</f>
        <v>1</v>
      </c>
      <c r="H8" s="25" t="str">
        <f>EU!I18</f>
        <v>Broxah</v>
      </c>
      <c r="I8" s="26">
        <f>EU!N18</f>
        <v>1601</v>
      </c>
      <c r="J8" s="26">
        <f>SUM(EU!L18:M18)</f>
        <v>107</v>
      </c>
      <c r="K8" s="26">
        <f>RANK(I8,$I$8:$I$17)</f>
        <v>1</v>
      </c>
      <c r="L8" s="25" t="str">
        <f>EU!O18</f>
        <v>Caps</v>
      </c>
      <c r="M8" s="26">
        <f>EU!T18</f>
        <v>1601</v>
      </c>
      <c r="N8" s="26">
        <f>SUM(EU!R18:S18)</f>
        <v>116</v>
      </c>
      <c r="O8" s="26">
        <f>RANK(M8,$M$8:$M$17)</f>
        <v>1</v>
      </c>
      <c r="P8" s="25" t="str">
        <f>EU!U18</f>
        <v>Rekkles</v>
      </c>
      <c r="Q8" s="26">
        <f>EU!Z18</f>
        <v>1588</v>
      </c>
      <c r="R8" s="26">
        <f>SUM(EU!X18:Y18)</f>
        <v>351</v>
      </c>
      <c r="S8" s="26">
        <f>RANK(Q8,$Q$8:$Q$17)</f>
        <v>1</v>
      </c>
      <c r="T8" s="25" t="str">
        <f>EU!AA18</f>
        <v>Hylissang</v>
      </c>
      <c r="U8" s="26">
        <f>EU!AF18</f>
        <v>1564</v>
      </c>
      <c r="V8" s="26">
        <f>SUM(EU!AD18:AE18)</f>
        <v>257</v>
      </c>
      <c r="W8" s="26">
        <f>RANK(U8,$U$8:$U$17)</f>
        <v>1</v>
      </c>
      <c r="Y8" s="49" t="s">
        <v>198</v>
      </c>
      <c r="Z8" s="50" t="s">
        <v>199</v>
      </c>
      <c r="AA8" s="49" t="str">
        <f>D8</f>
        <v>sOAZ</v>
      </c>
      <c r="AB8" s="50">
        <f>F8</f>
        <v>340</v>
      </c>
      <c r="AC8" s="50">
        <f>G8</f>
        <v>1</v>
      </c>
      <c r="AD8" s="49" t="str">
        <f>H8</f>
        <v>Broxah</v>
      </c>
      <c r="AE8" s="50">
        <f>J8</f>
        <v>107</v>
      </c>
      <c r="AF8" s="50">
        <f>K8</f>
        <v>1</v>
      </c>
      <c r="AG8" s="49" t="str">
        <f>L8</f>
        <v>Caps</v>
      </c>
      <c r="AH8" s="50">
        <f>N8</f>
        <v>116</v>
      </c>
      <c r="AI8" s="50">
        <f>O8</f>
        <v>1</v>
      </c>
      <c r="AJ8" s="49" t="str">
        <f>P8</f>
        <v>Rekkles</v>
      </c>
      <c r="AK8" s="50">
        <f>R8</f>
        <v>351</v>
      </c>
      <c r="AL8" s="50">
        <f>S8</f>
        <v>1</v>
      </c>
      <c r="AM8" s="49" t="str">
        <f>T8</f>
        <v>Hylissang</v>
      </c>
      <c r="AN8" s="50">
        <f>V8</f>
        <v>257</v>
      </c>
      <c r="AO8" s="50">
        <f>W8</f>
        <v>1</v>
      </c>
    </row>
    <row r="9" spans="2:41">
      <c r="B9" s="25" t="str">
        <f>EU!A4</f>
        <v>Misfits</v>
      </c>
      <c r="C9" s="25" t="str">
        <f>EU!B4</f>
        <v>MIS</v>
      </c>
      <c r="D9" s="25" t="str">
        <f>EU!C4</f>
        <v>Alphari</v>
      </c>
      <c r="E9" s="26">
        <f>EU!H19</f>
        <v>1568</v>
      </c>
      <c r="F9" s="26">
        <f>SUM(EU!F19:G19)</f>
        <v>109</v>
      </c>
      <c r="G9" s="26">
        <f t="shared" ref="G9:G16" si="0">RANK(E9,$E$8:$E$17)</f>
        <v>3</v>
      </c>
      <c r="H9" s="25" t="str">
        <f>EU!I19</f>
        <v>Maxlore</v>
      </c>
      <c r="I9" s="26">
        <f>EU!N19</f>
        <v>1568</v>
      </c>
      <c r="J9" s="26">
        <f>SUM(EU!L19:M19)</f>
        <v>130</v>
      </c>
      <c r="K9" s="26">
        <f t="shared" ref="K9:K17" si="1">RANK(I9,$I$8:$I$17)</f>
        <v>2</v>
      </c>
      <c r="L9" s="25" t="str">
        <f>EU!O19</f>
        <v>Sencux</v>
      </c>
      <c r="M9" s="26">
        <f>EU!T19</f>
        <v>1507</v>
      </c>
      <c r="N9" s="26">
        <f>SUM(EU!R19:S19)</f>
        <v>152</v>
      </c>
      <c r="O9" s="26">
        <f t="shared" ref="O9:O17" si="2">RANK(M9,$M$8:$M$17)</f>
        <v>4</v>
      </c>
      <c r="P9" s="25" t="str">
        <f>EU!U19</f>
        <v>Hans sama</v>
      </c>
      <c r="Q9" s="26">
        <f>EU!Z19</f>
        <v>1568</v>
      </c>
      <c r="R9" s="26">
        <f>SUM(EU!X19:Y19)</f>
        <v>109</v>
      </c>
      <c r="S9" s="26">
        <f t="shared" ref="S9:S17" si="3">RANK(Q9,$Q$8:$Q$17)</f>
        <v>2</v>
      </c>
      <c r="T9" s="25" t="str">
        <f>EU!AA19</f>
        <v>Mikyx</v>
      </c>
      <c r="U9" s="26">
        <f>EU!AF19</f>
        <v>1508</v>
      </c>
      <c r="V9" s="26">
        <f>SUM(EU!AD19:AE19)</f>
        <v>129</v>
      </c>
      <c r="W9" s="26">
        <f t="shared" ref="W9:W17" si="4">RANK(U9,$U$8:$U$17)</f>
        <v>6</v>
      </c>
      <c r="Y9" s="49" t="s">
        <v>284</v>
      </c>
      <c r="Z9" s="50" t="s">
        <v>285</v>
      </c>
      <c r="AA9" s="49" t="str">
        <f t="shared" ref="AA9:AA17" si="5">D9</f>
        <v>Alphari</v>
      </c>
      <c r="AB9" s="50">
        <f t="shared" ref="AB9:AB17" si="6">F9</f>
        <v>109</v>
      </c>
      <c r="AC9" s="50">
        <f t="shared" ref="AC9:AC17" si="7">G9</f>
        <v>3</v>
      </c>
      <c r="AD9" s="49" t="str">
        <f t="shared" ref="AD9:AD17" si="8">H9</f>
        <v>Maxlore</v>
      </c>
      <c r="AE9" s="50">
        <f t="shared" ref="AE9:AE17" si="9">J9</f>
        <v>130</v>
      </c>
      <c r="AF9" s="50">
        <f t="shared" ref="AF9:AF17" si="10">K9</f>
        <v>2</v>
      </c>
      <c r="AG9" s="49" t="str">
        <f t="shared" ref="AG9:AG17" si="11">L9</f>
        <v>Sencux</v>
      </c>
      <c r="AH9" s="50">
        <f t="shared" ref="AH9:AH17" si="12">N9</f>
        <v>152</v>
      </c>
      <c r="AI9" s="50">
        <f t="shared" ref="AI9:AI17" si="13">O9</f>
        <v>4</v>
      </c>
      <c r="AJ9" s="49" t="str">
        <f t="shared" ref="AJ9:AJ17" si="14">P9</f>
        <v>Hans sama</v>
      </c>
      <c r="AK9" s="50">
        <f t="shared" ref="AK9:AK17" si="15">R9</f>
        <v>109</v>
      </c>
      <c r="AL9" s="50">
        <f t="shared" ref="AL9:AL17" si="16">S9</f>
        <v>2</v>
      </c>
      <c r="AM9" s="49" t="str">
        <f t="shared" ref="AM9:AM17" si="17">T9</f>
        <v>Mikyx</v>
      </c>
      <c r="AN9" s="50">
        <f t="shared" ref="AN9:AN17" si="18">V9</f>
        <v>129</v>
      </c>
      <c r="AO9" s="50">
        <f t="shared" ref="AO9:AO17" si="19">W9</f>
        <v>6</v>
      </c>
    </row>
    <row r="10" spans="2:41">
      <c r="B10" s="25" t="str">
        <f>EU!A5</f>
        <v>Vitality</v>
      </c>
      <c r="C10" s="25" t="str">
        <f>EU!B5</f>
        <v>VIT</v>
      </c>
      <c r="D10" s="25" t="str">
        <f>EU!C5</f>
        <v>Cabochard</v>
      </c>
      <c r="E10" s="26">
        <f>EU!H20</f>
        <v>1475</v>
      </c>
      <c r="F10" s="26">
        <f>SUM(EU!F20:G20)</f>
        <v>169</v>
      </c>
      <c r="G10" s="26">
        <f t="shared" si="0"/>
        <v>7</v>
      </c>
      <c r="H10" s="25" t="str">
        <f>EU!I20</f>
        <v>Gilius</v>
      </c>
      <c r="I10" s="26">
        <f>EU!N20</f>
        <v>1533</v>
      </c>
      <c r="J10" s="26">
        <f>SUM(EU!L20:M20)</f>
        <v>118</v>
      </c>
      <c r="K10" s="26">
        <f t="shared" si="1"/>
        <v>4</v>
      </c>
      <c r="L10" s="25" t="str">
        <f>EU!O20</f>
        <v>Jiizuke</v>
      </c>
      <c r="M10" s="26">
        <f>EU!T20</f>
        <v>1551</v>
      </c>
      <c r="N10" s="26">
        <f>SUM(EU!R20:S20)</f>
        <v>26</v>
      </c>
      <c r="O10" s="26">
        <f t="shared" si="2"/>
        <v>3</v>
      </c>
      <c r="P10" s="25" t="str">
        <f>EU!U20</f>
        <v>Minitroupax</v>
      </c>
      <c r="Q10" s="26">
        <f>EU!Z20</f>
        <v>1551</v>
      </c>
      <c r="R10" s="26">
        <f>SUM(EU!X20:Y20)</f>
        <v>26</v>
      </c>
      <c r="S10" s="26">
        <f t="shared" si="3"/>
        <v>3</v>
      </c>
      <c r="T10" s="25" t="str">
        <f>EU!AA20</f>
        <v>Jacktroll</v>
      </c>
      <c r="U10" s="26">
        <f>EU!AF20</f>
        <v>1554</v>
      </c>
      <c r="V10" s="26">
        <f>SUM(EU!AD20:AE20)</f>
        <v>24</v>
      </c>
      <c r="W10" s="26">
        <f t="shared" si="4"/>
        <v>2</v>
      </c>
      <c r="Y10" s="49" t="s">
        <v>140</v>
      </c>
      <c r="Z10" s="50" t="s">
        <v>141</v>
      </c>
      <c r="AA10" s="49" t="str">
        <f t="shared" si="5"/>
        <v>Cabochard</v>
      </c>
      <c r="AB10" s="50">
        <f t="shared" si="6"/>
        <v>169</v>
      </c>
      <c r="AC10" s="50">
        <f t="shared" si="7"/>
        <v>7</v>
      </c>
      <c r="AD10" s="49" t="str">
        <f t="shared" si="8"/>
        <v>Gilius</v>
      </c>
      <c r="AE10" s="50">
        <f t="shared" si="9"/>
        <v>118</v>
      </c>
      <c r="AF10" s="50">
        <f t="shared" si="10"/>
        <v>4</v>
      </c>
      <c r="AG10" s="49" t="str">
        <f t="shared" si="11"/>
        <v>Jiizuke</v>
      </c>
      <c r="AH10" s="50">
        <f t="shared" si="12"/>
        <v>26</v>
      </c>
      <c r="AI10" s="50">
        <f t="shared" si="13"/>
        <v>3</v>
      </c>
      <c r="AJ10" s="49" t="str">
        <f t="shared" si="14"/>
        <v>Minitroupax</v>
      </c>
      <c r="AK10" s="50">
        <f t="shared" si="15"/>
        <v>26</v>
      </c>
      <c r="AL10" s="50">
        <f t="shared" si="16"/>
        <v>3</v>
      </c>
      <c r="AM10" s="49" t="str">
        <f t="shared" si="17"/>
        <v>Jacktroll</v>
      </c>
      <c r="AN10" s="50">
        <f t="shared" si="18"/>
        <v>24</v>
      </c>
      <c r="AO10" s="50">
        <f t="shared" si="19"/>
        <v>2</v>
      </c>
    </row>
    <row r="11" spans="2:41">
      <c r="B11" s="25" t="str">
        <f>EU!A6</f>
        <v>FC Schalke 04</v>
      </c>
      <c r="C11" s="25" t="str">
        <f>EU!B6</f>
        <v>S04</v>
      </c>
      <c r="D11" s="25" t="str">
        <f>EU!C6</f>
        <v>Vizicsacsi</v>
      </c>
      <c r="E11" s="26">
        <f>EU!H21</f>
        <v>1563</v>
      </c>
      <c r="F11" s="26">
        <f>SUM(EU!F21:G21)</f>
        <v>257</v>
      </c>
      <c r="G11" s="26">
        <f t="shared" si="0"/>
        <v>4</v>
      </c>
      <c r="H11" s="25" t="str">
        <f>EU!I21</f>
        <v>Pridestalker</v>
      </c>
      <c r="I11" s="26">
        <f>EU!N21</f>
        <v>1449</v>
      </c>
      <c r="J11" s="26">
        <f>SUM(EU!L21:M21)</f>
        <v>55</v>
      </c>
      <c r="K11" s="26">
        <f t="shared" si="1"/>
        <v>10</v>
      </c>
      <c r="L11" s="25" t="str">
        <f>EU!O21</f>
        <v>Nukeduck</v>
      </c>
      <c r="M11" s="26">
        <f>EU!T21</f>
        <v>1455</v>
      </c>
      <c r="N11" s="26">
        <f>SUM(EU!R21:S21)</f>
        <v>171</v>
      </c>
      <c r="O11" s="26">
        <f t="shared" si="2"/>
        <v>9</v>
      </c>
      <c r="P11" s="25" t="str">
        <f>EU!U21</f>
        <v>UpseT</v>
      </c>
      <c r="Q11" s="26">
        <f>EU!Z21</f>
        <v>1542</v>
      </c>
      <c r="R11" s="26">
        <f>SUM(EU!X21:Y21)</f>
        <v>48</v>
      </c>
      <c r="S11" s="26">
        <f t="shared" si="3"/>
        <v>4</v>
      </c>
      <c r="T11" s="25" t="str">
        <f>EU!AA21</f>
        <v>VandeR</v>
      </c>
      <c r="U11" s="26">
        <f>EU!AF21</f>
        <v>1552</v>
      </c>
      <c r="V11" s="26">
        <f>SUM(EU!AD21:AE21)</f>
        <v>262</v>
      </c>
      <c r="W11" s="26">
        <f t="shared" si="4"/>
        <v>3</v>
      </c>
      <c r="Y11" s="49" t="s">
        <v>222</v>
      </c>
      <c r="Z11" s="50" t="s">
        <v>223</v>
      </c>
      <c r="AA11" s="49" t="str">
        <f t="shared" si="5"/>
        <v>Vizicsacsi</v>
      </c>
      <c r="AB11" s="50">
        <f t="shared" si="6"/>
        <v>257</v>
      </c>
      <c r="AC11" s="50">
        <f t="shared" si="7"/>
        <v>4</v>
      </c>
      <c r="AD11" s="49" t="str">
        <f t="shared" si="8"/>
        <v>Pridestalker</v>
      </c>
      <c r="AE11" s="50">
        <f t="shared" si="9"/>
        <v>55</v>
      </c>
      <c r="AF11" s="50">
        <f t="shared" si="10"/>
        <v>10</v>
      </c>
      <c r="AG11" s="49" t="str">
        <f t="shared" si="11"/>
        <v>Nukeduck</v>
      </c>
      <c r="AH11" s="50">
        <f t="shared" si="12"/>
        <v>171</v>
      </c>
      <c r="AI11" s="50">
        <f t="shared" si="13"/>
        <v>9</v>
      </c>
      <c r="AJ11" s="49" t="str">
        <f t="shared" si="14"/>
        <v>UpseT</v>
      </c>
      <c r="AK11" s="50">
        <f t="shared" si="15"/>
        <v>48</v>
      </c>
      <c r="AL11" s="50">
        <f t="shared" si="16"/>
        <v>4</v>
      </c>
      <c r="AM11" s="49" t="str">
        <f t="shared" si="17"/>
        <v>VandeR</v>
      </c>
      <c r="AN11" s="50">
        <f t="shared" si="18"/>
        <v>262</v>
      </c>
      <c r="AO11" s="50">
        <f t="shared" si="19"/>
        <v>3</v>
      </c>
    </row>
    <row r="12" spans="2:41">
      <c r="B12" s="25" t="str">
        <f>EU!A7</f>
        <v>Splyce</v>
      </c>
      <c r="C12" s="25" t="str">
        <f>EU!B7</f>
        <v>SPY</v>
      </c>
      <c r="D12" s="25" t="str">
        <f>EU!C7</f>
        <v>Odoamne</v>
      </c>
      <c r="E12" s="26">
        <f>EU!H22</f>
        <v>1584</v>
      </c>
      <c r="F12" s="26">
        <f>SUM(EU!F22:G22)</f>
        <v>250</v>
      </c>
      <c r="G12" s="26">
        <f t="shared" si="0"/>
        <v>1</v>
      </c>
      <c r="H12" s="25" t="str">
        <f>EU!I22</f>
        <v>Xerxe</v>
      </c>
      <c r="I12" s="26">
        <f>EU!N22</f>
        <v>1518</v>
      </c>
      <c r="J12" s="26">
        <f>SUM(EU!L22:M22)</f>
        <v>100</v>
      </c>
      <c r="K12" s="26">
        <f t="shared" si="1"/>
        <v>5</v>
      </c>
      <c r="L12" s="25" t="str">
        <f>EU!O22</f>
        <v>Nisqy</v>
      </c>
      <c r="M12" s="26">
        <f>EU!T22</f>
        <v>1483</v>
      </c>
      <c r="N12" s="26">
        <f>SUM(EU!R22:S22)</f>
        <v>62</v>
      </c>
      <c r="O12" s="26">
        <f t="shared" si="2"/>
        <v>7</v>
      </c>
      <c r="P12" s="25" t="str">
        <f>EU!U22</f>
        <v>Kobbe</v>
      </c>
      <c r="Q12" s="26">
        <f>EU!Z22</f>
        <v>1502</v>
      </c>
      <c r="R12" s="26">
        <f>SUM(EU!X22:Y22)</f>
        <v>153</v>
      </c>
      <c r="S12" s="26">
        <f t="shared" si="3"/>
        <v>5</v>
      </c>
      <c r="T12" s="25" t="str">
        <f>EU!AA22</f>
        <v>KaSing</v>
      </c>
      <c r="U12" s="26">
        <f>EU!AF22</f>
        <v>1475</v>
      </c>
      <c r="V12" s="26">
        <f>SUM(EU!AD22:AE22)</f>
        <v>165</v>
      </c>
      <c r="W12" s="26">
        <f t="shared" si="4"/>
        <v>7</v>
      </c>
      <c r="Y12" s="49" t="s">
        <v>34</v>
      </c>
      <c r="Z12" s="50" t="s">
        <v>35</v>
      </c>
      <c r="AA12" s="49" t="str">
        <f t="shared" si="5"/>
        <v>Odoamne</v>
      </c>
      <c r="AB12" s="50">
        <f t="shared" si="6"/>
        <v>250</v>
      </c>
      <c r="AC12" s="50">
        <f t="shared" si="7"/>
        <v>1</v>
      </c>
      <c r="AD12" s="49" t="str">
        <f t="shared" si="8"/>
        <v>Xerxe</v>
      </c>
      <c r="AE12" s="50">
        <f t="shared" si="9"/>
        <v>100</v>
      </c>
      <c r="AF12" s="50">
        <f t="shared" si="10"/>
        <v>5</v>
      </c>
      <c r="AG12" s="49" t="str">
        <f t="shared" si="11"/>
        <v>Nisqy</v>
      </c>
      <c r="AH12" s="50">
        <f t="shared" si="12"/>
        <v>62</v>
      </c>
      <c r="AI12" s="50">
        <f t="shared" si="13"/>
        <v>7</v>
      </c>
      <c r="AJ12" s="49" t="str">
        <f t="shared" si="14"/>
        <v>Kobbe</v>
      </c>
      <c r="AK12" s="50">
        <f t="shared" si="15"/>
        <v>153</v>
      </c>
      <c r="AL12" s="50">
        <f t="shared" si="16"/>
        <v>5</v>
      </c>
      <c r="AM12" s="49" t="str">
        <f t="shared" si="17"/>
        <v>KaSing</v>
      </c>
      <c r="AN12" s="50">
        <f t="shared" si="18"/>
        <v>165</v>
      </c>
      <c r="AO12" s="50">
        <f t="shared" si="19"/>
        <v>7</v>
      </c>
    </row>
    <row r="13" spans="2:41">
      <c r="B13" s="25" t="str">
        <f>EU!A8</f>
        <v>G2 Esports</v>
      </c>
      <c r="C13" s="25" t="str">
        <f>EU!B8</f>
        <v>G2</v>
      </c>
      <c r="D13" s="25" t="str">
        <f>EU!C8</f>
        <v>Wunder</v>
      </c>
      <c r="E13" s="26">
        <f>EU!H23</f>
        <v>1474</v>
      </c>
      <c r="F13" s="26">
        <f>SUM(EU!F23:G23)</f>
        <v>153</v>
      </c>
      <c r="G13" s="26">
        <f t="shared" si="0"/>
        <v>8</v>
      </c>
      <c r="H13" s="25" t="str">
        <f>EU!I23</f>
        <v>Jankos</v>
      </c>
      <c r="I13" s="26">
        <f>EU!N23</f>
        <v>1568</v>
      </c>
      <c r="J13" s="26">
        <f>SUM(EU!L23:M23)</f>
        <v>314</v>
      </c>
      <c r="K13" s="26">
        <f t="shared" si="1"/>
        <v>2</v>
      </c>
      <c r="L13" s="25" t="str">
        <f>EU!O23</f>
        <v>Perkz</v>
      </c>
      <c r="M13" s="26">
        <f>EU!T23</f>
        <v>1596</v>
      </c>
      <c r="N13" s="26">
        <f>SUM(EU!R23:S23)</f>
        <v>217</v>
      </c>
      <c r="O13" s="26">
        <f t="shared" si="2"/>
        <v>2</v>
      </c>
      <c r="P13" s="25" t="str">
        <f>EU!U23</f>
        <v>Hjarnan</v>
      </c>
      <c r="Q13" s="26">
        <f>EU!Z23</f>
        <v>1448</v>
      </c>
      <c r="R13" s="26">
        <f>SUM(EU!X23:Y23)</f>
        <v>148</v>
      </c>
      <c r="S13" s="26">
        <f t="shared" si="3"/>
        <v>8</v>
      </c>
      <c r="T13" s="25" t="str">
        <f>EU!AA23</f>
        <v>Wadid</v>
      </c>
      <c r="U13" s="26">
        <f>EU!AF23</f>
        <v>1433</v>
      </c>
      <c r="V13" s="26">
        <f>SUM(EU!AD23:AE23)</f>
        <v>66</v>
      </c>
      <c r="W13" s="26">
        <f t="shared" si="4"/>
        <v>8</v>
      </c>
      <c r="Y13" s="49" t="s">
        <v>120</v>
      </c>
      <c r="Z13" s="50" t="s">
        <v>121</v>
      </c>
      <c r="AA13" s="49" t="str">
        <f t="shared" si="5"/>
        <v>Wunder</v>
      </c>
      <c r="AB13" s="50">
        <f t="shared" si="6"/>
        <v>153</v>
      </c>
      <c r="AC13" s="50">
        <f t="shared" si="7"/>
        <v>8</v>
      </c>
      <c r="AD13" s="49" t="str">
        <f t="shared" si="8"/>
        <v>Jankos</v>
      </c>
      <c r="AE13" s="50">
        <f t="shared" si="9"/>
        <v>314</v>
      </c>
      <c r="AF13" s="50">
        <f t="shared" si="10"/>
        <v>2</v>
      </c>
      <c r="AG13" s="49" t="str">
        <f t="shared" si="11"/>
        <v>Perkz</v>
      </c>
      <c r="AH13" s="50">
        <f t="shared" si="12"/>
        <v>217</v>
      </c>
      <c r="AI13" s="50">
        <f t="shared" si="13"/>
        <v>2</v>
      </c>
      <c r="AJ13" s="49" t="str">
        <f t="shared" si="14"/>
        <v>Hjarnan</v>
      </c>
      <c r="AK13" s="50">
        <f t="shared" si="15"/>
        <v>148</v>
      </c>
      <c r="AL13" s="50">
        <f t="shared" si="16"/>
        <v>8</v>
      </c>
      <c r="AM13" s="49" t="str">
        <f t="shared" si="17"/>
        <v>Wadid</v>
      </c>
      <c r="AN13" s="50">
        <f t="shared" si="18"/>
        <v>66</v>
      </c>
      <c r="AO13" s="50">
        <f t="shared" si="19"/>
        <v>8</v>
      </c>
    </row>
    <row r="14" spans="2:41">
      <c r="B14" s="25" t="str">
        <f>EU!A9</f>
        <v>Giants</v>
      </c>
      <c r="C14" s="25" t="str">
        <f>EU!B9</f>
        <v>GIA</v>
      </c>
      <c r="D14" s="25" t="str">
        <f>EU!C9</f>
        <v>Ruin</v>
      </c>
      <c r="E14" s="26">
        <f>EU!H24</f>
        <v>1548</v>
      </c>
      <c r="F14" s="26">
        <f>SUM(EU!F24:G24)</f>
        <v>26</v>
      </c>
      <c r="G14" s="26">
        <f t="shared" si="0"/>
        <v>5</v>
      </c>
      <c r="H14" s="25" t="str">
        <f>EU!I24</f>
        <v>Djoko</v>
      </c>
      <c r="I14" s="26">
        <f>EU!N24</f>
        <v>1477</v>
      </c>
      <c r="J14" s="26">
        <f>SUM(EU!L24:M24)</f>
        <v>67</v>
      </c>
      <c r="K14" s="26">
        <f t="shared" si="1"/>
        <v>8</v>
      </c>
      <c r="L14" s="25" t="str">
        <f>EU!O24</f>
        <v>Betsy</v>
      </c>
      <c r="M14" s="26">
        <f>EU!T24</f>
        <v>1463</v>
      </c>
      <c r="N14" s="26">
        <f>SUM(EU!R24:S24)</f>
        <v>165</v>
      </c>
      <c r="O14" s="26">
        <f t="shared" si="2"/>
        <v>8</v>
      </c>
      <c r="P14" s="25" t="str">
        <f>EU!U24</f>
        <v>Steeelback</v>
      </c>
      <c r="Q14" s="26">
        <f>EU!Z24</f>
        <v>1468</v>
      </c>
      <c r="R14" s="26">
        <f>SUM(EU!X24:Y24)</f>
        <v>170</v>
      </c>
      <c r="S14" s="26">
        <f t="shared" si="3"/>
        <v>7</v>
      </c>
      <c r="T14" s="25" t="str">
        <f>EU!AA24</f>
        <v>Targamas</v>
      </c>
      <c r="U14" s="26">
        <f>EU!AF24</f>
        <v>1550</v>
      </c>
      <c r="V14" s="26">
        <f>SUM(EU!AD24:AE24)</f>
        <v>17</v>
      </c>
      <c r="W14" s="26">
        <f t="shared" si="4"/>
        <v>4</v>
      </c>
      <c r="Y14" s="49" t="s">
        <v>47</v>
      </c>
      <c r="Z14" s="50" t="s">
        <v>48</v>
      </c>
      <c r="AA14" s="49" t="str">
        <f t="shared" si="5"/>
        <v>Ruin</v>
      </c>
      <c r="AB14" s="50">
        <f t="shared" si="6"/>
        <v>26</v>
      </c>
      <c r="AC14" s="50">
        <f t="shared" si="7"/>
        <v>5</v>
      </c>
      <c r="AD14" s="49" t="str">
        <f t="shared" si="8"/>
        <v>Djoko</v>
      </c>
      <c r="AE14" s="50">
        <f t="shared" si="9"/>
        <v>67</v>
      </c>
      <c r="AF14" s="50">
        <f t="shared" si="10"/>
        <v>8</v>
      </c>
      <c r="AG14" s="49" t="str">
        <f t="shared" si="11"/>
        <v>Betsy</v>
      </c>
      <c r="AH14" s="50">
        <f t="shared" si="12"/>
        <v>165</v>
      </c>
      <c r="AI14" s="50">
        <f t="shared" si="13"/>
        <v>8</v>
      </c>
      <c r="AJ14" s="49" t="str">
        <f t="shared" si="14"/>
        <v>Steeelback</v>
      </c>
      <c r="AK14" s="50">
        <f t="shared" si="15"/>
        <v>170</v>
      </c>
      <c r="AL14" s="50">
        <f t="shared" si="16"/>
        <v>7</v>
      </c>
      <c r="AM14" s="49" t="str">
        <f t="shared" si="17"/>
        <v>Targamas</v>
      </c>
      <c r="AN14" s="50">
        <f t="shared" si="18"/>
        <v>17</v>
      </c>
      <c r="AO14" s="50">
        <f t="shared" si="19"/>
        <v>4</v>
      </c>
    </row>
    <row r="15" spans="2:41">
      <c r="B15" s="25" t="str">
        <f>EU!A10</f>
        <v>H2k-Gaming</v>
      </c>
      <c r="C15" s="25" t="str">
        <f>EU!B10</f>
        <v>H2k</v>
      </c>
      <c r="D15" s="25" t="str">
        <f>EU!C10</f>
        <v>SmittyJ</v>
      </c>
      <c r="E15" s="26">
        <f>EU!H25</f>
        <v>1534</v>
      </c>
      <c r="F15" s="26">
        <f>SUM(EU!F25:G25)</f>
        <v>115</v>
      </c>
      <c r="G15" s="26">
        <f t="shared" si="0"/>
        <v>6</v>
      </c>
      <c r="H15" s="25" t="str">
        <f>EU!I25</f>
        <v>Santorin</v>
      </c>
      <c r="I15" s="26">
        <f>EU!N25</f>
        <v>1512</v>
      </c>
      <c r="J15" s="26">
        <f>SUM(EU!L25:M25)</f>
        <v>198</v>
      </c>
      <c r="K15" s="26">
        <f t="shared" si="1"/>
        <v>6</v>
      </c>
      <c r="L15" s="25" t="str">
        <f>EU!O25</f>
        <v>Caedrel</v>
      </c>
      <c r="M15" s="26">
        <f>EU!T25</f>
        <v>1502</v>
      </c>
      <c r="N15" s="26">
        <f>SUM(EU!R25:S25)</f>
        <v>36</v>
      </c>
      <c r="O15" s="26">
        <f t="shared" si="2"/>
        <v>5</v>
      </c>
      <c r="P15" s="25" t="str">
        <f>EU!U25</f>
        <v>Sheriff</v>
      </c>
      <c r="Q15" s="26">
        <f>EU!Z25</f>
        <v>1443</v>
      </c>
      <c r="R15" s="26">
        <f>SUM(EU!X25:Y25)</f>
        <v>4</v>
      </c>
      <c r="S15" s="26">
        <f t="shared" si="3"/>
        <v>9</v>
      </c>
      <c r="T15" s="25" t="str">
        <f>EU!AA25</f>
        <v>Promisq</v>
      </c>
      <c r="U15" s="26">
        <f>EU!AF25</f>
        <v>1368</v>
      </c>
      <c r="V15" s="26">
        <f>SUM(EU!AD25:AE25)</f>
        <v>127</v>
      </c>
      <c r="W15" s="26">
        <f t="shared" si="4"/>
        <v>10</v>
      </c>
      <c r="Y15" s="49" t="s">
        <v>60</v>
      </c>
      <c r="Z15" s="50" t="s">
        <v>61</v>
      </c>
      <c r="AA15" s="49" t="str">
        <f t="shared" si="5"/>
        <v>SmittyJ</v>
      </c>
      <c r="AB15" s="50">
        <f t="shared" si="6"/>
        <v>115</v>
      </c>
      <c r="AC15" s="50">
        <f t="shared" si="7"/>
        <v>6</v>
      </c>
      <c r="AD15" s="49" t="str">
        <f t="shared" si="8"/>
        <v>Santorin</v>
      </c>
      <c r="AE15" s="50">
        <f t="shared" si="9"/>
        <v>198</v>
      </c>
      <c r="AF15" s="50">
        <f t="shared" si="10"/>
        <v>6</v>
      </c>
      <c r="AG15" s="49" t="str">
        <f t="shared" si="11"/>
        <v>Caedrel</v>
      </c>
      <c r="AH15" s="50">
        <f t="shared" si="12"/>
        <v>36</v>
      </c>
      <c r="AI15" s="50">
        <f t="shared" si="13"/>
        <v>5</v>
      </c>
      <c r="AJ15" s="49" t="str">
        <f t="shared" si="14"/>
        <v>Sheriff</v>
      </c>
      <c r="AK15" s="50">
        <f t="shared" si="15"/>
        <v>4</v>
      </c>
      <c r="AL15" s="50">
        <f t="shared" si="16"/>
        <v>9</v>
      </c>
      <c r="AM15" s="49" t="str">
        <f t="shared" si="17"/>
        <v>Promisq</v>
      </c>
      <c r="AN15" s="50">
        <f t="shared" si="18"/>
        <v>127</v>
      </c>
      <c r="AO15" s="50">
        <f t="shared" si="19"/>
        <v>10</v>
      </c>
    </row>
    <row r="16" spans="2:41">
      <c r="B16" s="25" t="str">
        <f>EU!A11</f>
        <v>ROCCAT</v>
      </c>
      <c r="C16" s="25" t="str">
        <f>EU!B11</f>
        <v>ROC</v>
      </c>
      <c r="D16" s="25" t="str">
        <f>EU!C11</f>
        <v>Profit</v>
      </c>
      <c r="E16" s="26">
        <f>EU!H26</f>
        <v>1447</v>
      </c>
      <c r="F16" s="26">
        <f>SUM(EU!F26:G26)</f>
        <v>52</v>
      </c>
      <c r="G16" s="26">
        <f t="shared" si="0"/>
        <v>9</v>
      </c>
      <c r="H16" s="25" t="str">
        <f>EU!I26</f>
        <v>Memento</v>
      </c>
      <c r="I16" s="26">
        <f>EU!N26</f>
        <v>1497</v>
      </c>
      <c r="J16" s="26">
        <f>SUM(EU!L26:M26)</f>
        <v>94</v>
      </c>
      <c r="K16" s="26">
        <f t="shared" si="1"/>
        <v>7</v>
      </c>
      <c r="L16" s="25" t="str">
        <f>EU!O26</f>
        <v>Blanc</v>
      </c>
      <c r="M16" s="26">
        <f>EU!T26</f>
        <v>1437</v>
      </c>
      <c r="N16" s="26">
        <f>SUM(EU!R26:S26)</f>
        <v>40</v>
      </c>
      <c r="O16" s="26">
        <f t="shared" si="2"/>
        <v>10</v>
      </c>
      <c r="P16" s="25" t="str">
        <f>EU!U26</f>
        <v>HeaQ</v>
      </c>
      <c r="Q16" s="26">
        <f>EU!Z26</f>
        <v>1391</v>
      </c>
      <c r="R16" s="26">
        <f>SUM(EU!X26:Y26)</f>
        <v>85</v>
      </c>
      <c r="S16" s="26">
        <f t="shared" si="3"/>
        <v>10</v>
      </c>
      <c r="T16" s="25" t="str">
        <f>EU!AA26</f>
        <v>Norskeren</v>
      </c>
      <c r="U16" s="26">
        <f>EU!AF26</f>
        <v>1529</v>
      </c>
      <c r="V16" s="26">
        <f>SUM(EU!AD26:AE26)</f>
        <v>41</v>
      </c>
      <c r="W16" s="26">
        <f t="shared" si="4"/>
        <v>5</v>
      </c>
      <c r="Y16" s="49" t="s">
        <v>211</v>
      </c>
      <c r="Z16" s="50" t="s">
        <v>282</v>
      </c>
      <c r="AA16" s="49" t="str">
        <f t="shared" si="5"/>
        <v>Profit</v>
      </c>
      <c r="AB16" s="50">
        <f t="shared" si="6"/>
        <v>52</v>
      </c>
      <c r="AC16" s="50">
        <f t="shared" si="7"/>
        <v>9</v>
      </c>
      <c r="AD16" s="49" t="str">
        <f t="shared" si="8"/>
        <v>Memento</v>
      </c>
      <c r="AE16" s="50">
        <f t="shared" si="9"/>
        <v>94</v>
      </c>
      <c r="AF16" s="50">
        <f t="shared" si="10"/>
        <v>7</v>
      </c>
      <c r="AG16" s="49" t="str">
        <f t="shared" si="11"/>
        <v>Blanc</v>
      </c>
      <c r="AH16" s="50">
        <f t="shared" si="12"/>
        <v>40</v>
      </c>
      <c r="AI16" s="50">
        <f t="shared" si="13"/>
        <v>10</v>
      </c>
      <c r="AJ16" s="49" t="str">
        <f t="shared" si="14"/>
        <v>HeaQ</v>
      </c>
      <c r="AK16" s="50">
        <f t="shared" si="15"/>
        <v>85</v>
      </c>
      <c r="AL16" s="50">
        <f t="shared" si="16"/>
        <v>10</v>
      </c>
      <c r="AM16" s="49" t="str">
        <f t="shared" si="17"/>
        <v>Norskeren</v>
      </c>
      <c r="AN16" s="50">
        <f t="shared" si="18"/>
        <v>41</v>
      </c>
      <c r="AO16" s="50">
        <f t="shared" si="19"/>
        <v>5</v>
      </c>
    </row>
    <row r="17" spans="2:41">
      <c r="B17" s="25" t="str">
        <f>EU!A12</f>
        <v>Unicorns Of Love</v>
      </c>
      <c r="C17" s="25" t="str">
        <f>EU!B12</f>
        <v>UoL</v>
      </c>
      <c r="D17" s="25" t="str">
        <f>EU!C12</f>
        <v>Whiteknight</v>
      </c>
      <c r="E17" s="26">
        <f>EU!H27</f>
        <v>1388</v>
      </c>
      <c r="F17" s="26">
        <f>SUM(EU!F27:G27)</f>
        <v>17</v>
      </c>
      <c r="G17" s="26">
        <f>RANK(E17,$E$8:$E$17)</f>
        <v>10</v>
      </c>
      <c r="H17" s="25" t="str">
        <f>EU!I27</f>
        <v>Kold</v>
      </c>
      <c r="I17" s="26">
        <f>EU!N27</f>
        <v>1462</v>
      </c>
      <c r="J17" s="26">
        <f>SUM(EU!L27:M27)</f>
        <v>168</v>
      </c>
      <c r="K17" s="26">
        <f t="shared" si="1"/>
        <v>9</v>
      </c>
      <c r="L17" s="25" t="str">
        <f>EU!O27</f>
        <v>Exileh</v>
      </c>
      <c r="M17" s="26">
        <f>EU!T27</f>
        <v>1489</v>
      </c>
      <c r="N17" s="26">
        <f>SUM(EU!R27:S27)</f>
        <v>168</v>
      </c>
      <c r="O17" s="26">
        <f t="shared" si="2"/>
        <v>6</v>
      </c>
      <c r="P17" s="25" t="str">
        <f>EU!U27</f>
        <v>Samux</v>
      </c>
      <c r="Q17" s="26">
        <f>EU!Z27</f>
        <v>1471</v>
      </c>
      <c r="R17" s="26">
        <f>SUM(EU!X27:Y27)</f>
        <v>100</v>
      </c>
      <c r="S17" s="26">
        <f t="shared" si="3"/>
        <v>6</v>
      </c>
      <c r="T17" s="25" t="str">
        <f>EU!AA27</f>
        <v>Totoro</v>
      </c>
      <c r="U17" s="26">
        <f>EU!AF27</f>
        <v>1380</v>
      </c>
      <c r="V17" s="26">
        <f>SUM(EU!AD27:AE27)</f>
        <v>125</v>
      </c>
      <c r="W17" s="26">
        <f t="shared" si="4"/>
        <v>9</v>
      </c>
      <c r="Y17" s="49" t="s">
        <v>88</v>
      </c>
      <c r="Z17" s="50" t="s">
        <v>89</v>
      </c>
      <c r="AA17" s="49" t="str">
        <f t="shared" si="5"/>
        <v>Whiteknight</v>
      </c>
      <c r="AB17" s="50">
        <f t="shared" si="6"/>
        <v>17</v>
      </c>
      <c r="AC17" s="50">
        <f t="shared" si="7"/>
        <v>10</v>
      </c>
      <c r="AD17" s="49" t="str">
        <f t="shared" si="8"/>
        <v>Kold</v>
      </c>
      <c r="AE17" s="50">
        <f t="shared" si="9"/>
        <v>168</v>
      </c>
      <c r="AF17" s="50">
        <f t="shared" si="10"/>
        <v>9</v>
      </c>
      <c r="AG17" s="49" t="str">
        <f t="shared" si="11"/>
        <v>Exileh</v>
      </c>
      <c r="AH17" s="50">
        <f t="shared" si="12"/>
        <v>168</v>
      </c>
      <c r="AI17" s="50">
        <f t="shared" si="13"/>
        <v>6</v>
      </c>
      <c r="AJ17" s="49" t="str">
        <f t="shared" si="14"/>
        <v>Samux</v>
      </c>
      <c r="AK17" s="50">
        <f t="shared" si="15"/>
        <v>100</v>
      </c>
      <c r="AL17" s="50">
        <f t="shared" si="16"/>
        <v>6</v>
      </c>
      <c r="AM17" s="49" t="str">
        <f t="shared" si="17"/>
        <v>Totoro</v>
      </c>
      <c r="AN17" s="50">
        <f t="shared" si="18"/>
        <v>125</v>
      </c>
      <c r="AO17" s="50">
        <f t="shared" si="19"/>
        <v>9</v>
      </c>
    </row>
    <row r="18" spans="2:41"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</row>
    <row r="19" spans="2:41">
      <c r="B19" s="111" t="s">
        <v>386</v>
      </c>
      <c r="C19" s="111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112" t="s">
        <v>310</v>
      </c>
      <c r="Q19" s="113"/>
      <c r="R19" s="113"/>
      <c r="S19" s="114"/>
      <c r="T19" s="23"/>
      <c r="U19" s="23"/>
      <c r="V19" s="23"/>
      <c r="AI19" s="52"/>
      <c r="AJ19" s="53" t="s">
        <v>310</v>
      </c>
      <c r="AK19" s="55"/>
      <c r="AL19" s="56"/>
    </row>
    <row r="20" spans="2:41">
      <c r="B20" s="27" t="s">
        <v>255</v>
      </c>
      <c r="C20" s="33" t="s">
        <v>296</v>
      </c>
      <c r="D20" s="33" t="s">
        <v>298</v>
      </c>
      <c r="F20" s="27" t="s">
        <v>256</v>
      </c>
      <c r="G20" s="23"/>
      <c r="I20" s="23"/>
      <c r="J20" s="23"/>
      <c r="K20" s="23"/>
      <c r="L20" s="23"/>
      <c r="M20" s="23"/>
      <c r="N20" s="23"/>
      <c r="O20" s="23"/>
      <c r="P20" s="112" t="s">
        <v>311</v>
      </c>
      <c r="Q20" s="114"/>
      <c r="R20" s="35" t="s">
        <v>256</v>
      </c>
      <c r="S20" s="35" t="s">
        <v>296</v>
      </c>
      <c r="T20" s="23"/>
      <c r="U20" s="23"/>
      <c r="V20" s="23"/>
      <c r="AI20" s="52"/>
      <c r="AJ20" s="53" t="s">
        <v>311</v>
      </c>
      <c r="AK20" s="51" t="s">
        <v>256</v>
      </c>
      <c r="AL20" s="51" t="s">
        <v>296</v>
      </c>
    </row>
    <row r="21" spans="2:41">
      <c r="B21" s="25" t="str">
        <f t="shared" ref="B21:B30" si="20">B8</f>
        <v>Fnatic</v>
      </c>
      <c r="C21" s="26">
        <f t="shared" ref="C21:C30" si="21">RANK(F21,$F$21:$F$30)</f>
        <v>1</v>
      </c>
      <c r="D21" s="101">
        <f>F21/EU!$AH$15</f>
        <v>1.0541688794476898</v>
      </c>
      <c r="F21" s="32">
        <f>EU!AD3</f>
        <v>1588</v>
      </c>
      <c r="G21" s="23"/>
      <c r="I21" s="23"/>
      <c r="J21" s="23"/>
      <c r="K21" s="23"/>
      <c r="L21" s="23"/>
      <c r="M21" s="23"/>
      <c r="N21" s="23"/>
      <c r="O21" s="23"/>
      <c r="P21" s="110" t="str">
        <f t="shared" ref="P21:P30" si="22">B21</f>
        <v>Fnatic</v>
      </c>
      <c r="Q21" s="110"/>
      <c r="R21" s="26">
        <f t="shared" ref="R21:R30" si="23">(Q8+U8)/2</f>
        <v>1576</v>
      </c>
      <c r="S21" s="26">
        <f>RANK(R21,$R$21:$R$30)</f>
        <v>1</v>
      </c>
      <c r="T21" s="23"/>
      <c r="U21" s="23"/>
      <c r="V21" s="23"/>
      <c r="AI21" s="52"/>
      <c r="AJ21" s="54" t="str">
        <f t="shared" ref="AJ21:AJ30" si="24">P21</f>
        <v>Fnatic</v>
      </c>
      <c r="AK21" s="32">
        <f t="shared" ref="AK21:AK30" si="25">R21/AVERAGE($R$21:$R$30)*1000</f>
        <v>1054.7097205956165</v>
      </c>
      <c r="AL21" s="26">
        <f>RANK(AK21,$AK$21:$AK$30)</f>
        <v>1</v>
      </c>
    </row>
    <row r="22" spans="2:41">
      <c r="B22" s="25" t="str">
        <f t="shared" si="20"/>
        <v>Misfits</v>
      </c>
      <c r="C22" s="26">
        <f t="shared" si="21"/>
        <v>2</v>
      </c>
      <c r="D22" s="101">
        <f>F22/EU!$AH$15</f>
        <v>1.0249601699415825</v>
      </c>
      <c r="F22" s="32">
        <f>EU!AD4</f>
        <v>1544</v>
      </c>
      <c r="G22" s="23"/>
      <c r="H22" s="99" t="s">
        <v>388</v>
      </c>
      <c r="I22" s="25">
        <f>EU!$AH$15</f>
        <v>1506.4</v>
      </c>
      <c r="J22" s="23"/>
      <c r="K22" s="23"/>
      <c r="L22" s="23"/>
      <c r="M22" s="23"/>
      <c r="N22" s="23"/>
      <c r="O22" s="23"/>
      <c r="P22" s="110" t="str">
        <f t="shared" si="22"/>
        <v>Misfits</v>
      </c>
      <c r="Q22" s="110"/>
      <c r="R22" s="26">
        <f t="shared" si="23"/>
        <v>1538</v>
      </c>
      <c r="S22" s="26">
        <f t="shared" ref="S22:S30" si="26">RANK(R22,$R$21:$R$30)</f>
        <v>4</v>
      </c>
      <c r="T22" s="23"/>
      <c r="U22" s="23"/>
      <c r="AI22" s="52"/>
      <c r="AJ22" s="54" t="str">
        <f t="shared" si="24"/>
        <v>Misfits</v>
      </c>
      <c r="AK22" s="32">
        <f t="shared" si="25"/>
        <v>1029.2789024594279</v>
      </c>
      <c r="AL22" s="26">
        <f t="shared" ref="AL22:AL30" si="27">RANK(AK22,$AK$21:$AK$30)</f>
        <v>4</v>
      </c>
    </row>
    <row r="23" spans="2:41">
      <c r="B23" s="25" t="str">
        <f t="shared" si="20"/>
        <v>Vitality</v>
      </c>
      <c r="C23" s="26">
        <f t="shared" si="21"/>
        <v>3</v>
      </c>
      <c r="D23" s="101">
        <f>F23/EU!$AH$15</f>
        <v>1.0176579925650557</v>
      </c>
      <c r="F23" s="32">
        <f>EU!AD5</f>
        <v>1533</v>
      </c>
      <c r="G23" s="23"/>
      <c r="I23" s="23"/>
      <c r="J23" s="23"/>
      <c r="K23" s="23"/>
      <c r="L23" s="23"/>
      <c r="M23" s="23"/>
      <c r="N23" s="23"/>
      <c r="O23" s="23"/>
      <c r="P23" s="110" t="str">
        <f t="shared" si="22"/>
        <v>Vitality</v>
      </c>
      <c r="Q23" s="110"/>
      <c r="R23" s="26">
        <f t="shared" si="23"/>
        <v>1552.5</v>
      </c>
      <c r="S23" s="26">
        <f t="shared" si="26"/>
        <v>2</v>
      </c>
      <c r="T23" s="23"/>
      <c r="U23" s="23"/>
      <c r="AI23" s="52"/>
      <c r="AJ23" s="54" t="str">
        <f t="shared" si="24"/>
        <v>Vitality</v>
      </c>
      <c r="AK23" s="32">
        <f t="shared" si="25"/>
        <v>1038.9827672745523</v>
      </c>
      <c r="AL23" s="26">
        <f t="shared" si="27"/>
        <v>2</v>
      </c>
    </row>
    <row r="24" spans="2:41">
      <c r="B24" s="25" t="str">
        <f t="shared" si="20"/>
        <v>FC Schalke 04</v>
      </c>
      <c r="C24" s="26">
        <f t="shared" si="21"/>
        <v>4</v>
      </c>
      <c r="D24" s="101">
        <f>F24/EU!$AH$15</f>
        <v>1.003717472118959</v>
      </c>
      <c r="F24" s="32">
        <f>EU!AD6</f>
        <v>1512</v>
      </c>
      <c r="G24" s="23"/>
      <c r="I24" s="23"/>
      <c r="J24" s="23"/>
      <c r="K24" s="23"/>
      <c r="L24" s="23"/>
      <c r="M24" s="23"/>
      <c r="N24" s="23"/>
      <c r="O24" s="23"/>
      <c r="P24" s="110" t="str">
        <f t="shared" si="22"/>
        <v>FC Schalke 04</v>
      </c>
      <c r="Q24" s="110"/>
      <c r="R24" s="26">
        <f t="shared" si="23"/>
        <v>1547</v>
      </c>
      <c r="S24" s="26">
        <f t="shared" si="26"/>
        <v>3</v>
      </c>
      <c r="T24" s="23"/>
      <c r="U24" s="23"/>
      <c r="AI24" s="52"/>
      <c r="AJ24" s="54" t="str">
        <f t="shared" si="24"/>
        <v>FC Schalke 04</v>
      </c>
      <c r="AK24" s="32">
        <f t="shared" si="25"/>
        <v>1035.3019909653674</v>
      </c>
      <c r="AL24" s="26">
        <f t="shared" si="27"/>
        <v>3</v>
      </c>
    </row>
    <row r="25" spans="2:41">
      <c r="B25" s="25" t="str">
        <f t="shared" si="20"/>
        <v>Splyce</v>
      </c>
      <c r="C25" s="26">
        <f t="shared" si="21"/>
        <v>4</v>
      </c>
      <c r="D25" s="101">
        <f>F25/EU!$AH$15</f>
        <v>1.003717472118959</v>
      </c>
      <c r="F25" s="32">
        <f>EU!AD7</f>
        <v>1512</v>
      </c>
      <c r="G25" s="23"/>
      <c r="I25" s="23"/>
      <c r="J25" s="23"/>
      <c r="K25" s="23"/>
      <c r="L25" s="23"/>
      <c r="M25" s="23"/>
      <c r="N25" s="23"/>
      <c r="O25" s="23"/>
      <c r="P25" s="110" t="str">
        <f t="shared" si="22"/>
        <v>Splyce</v>
      </c>
      <c r="Q25" s="110"/>
      <c r="R25" s="26">
        <f t="shared" si="23"/>
        <v>1488.5</v>
      </c>
      <c r="S25" s="26">
        <f t="shared" si="26"/>
        <v>6</v>
      </c>
      <c r="T25" s="23"/>
      <c r="U25" s="23"/>
      <c r="AI25" s="52"/>
      <c r="AJ25" s="54" t="str">
        <f t="shared" si="24"/>
        <v>Splyce</v>
      </c>
      <c r="AK25" s="32">
        <f t="shared" si="25"/>
        <v>996.15191567676084</v>
      </c>
      <c r="AL25" s="26">
        <f t="shared" si="27"/>
        <v>6</v>
      </c>
    </row>
    <row r="26" spans="2:41">
      <c r="B26" s="25" t="str">
        <f t="shared" si="20"/>
        <v>G2 Esports</v>
      </c>
      <c r="C26" s="26">
        <f t="shared" si="21"/>
        <v>6</v>
      </c>
      <c r="D26" s="101">
        <f>F26/EU!$AH$15</f>
        <v>0.9984067976633032</v>
      </c>
      <c r="F26" s="32">
        <f>EU!AD8</f>
        <v>1504</v>
      </c>
      <c r="G26" s="23"/>
      <c r="I26" s="23"/>
      <c r="J26" s="23"/>
      <c r="K26" s="23"/>
      <c r="L26" s="23"/>
      <c r="M26" s="23"/>
      <c r="N26" s="23"/>
      <c r="O26" s="23"/>
      <c r="P26" s="110" t="str">
        <f t="shared" si="22"/>
        <v>G2 Esports</v>
      </c>
      <c r="Q26" s="110"/>
      <c r="R26" s="26">
        <f t="shared" si="23"/>
        <v>1440.5</v>
      </c>
      <c r="S26" s="26">
        <f t="shared" si="26"/>
        <v>8</v>
      </c>
      <c r="T26" s="23"/>
      <c r="U26" s="23"/>
      <c r="AI26" s="52"/>
      <c r="AJ26" s="54" t="str">
        <f t="shared" si="24"/>
        <v>G2 Esports</v>
      </c>
      <c r="AK26" s="32">
        <f t="shared" si="25"/>
        <v>964.02877697841723</v>
      </c>
      <c r="AL26" s="26">
        <f t="shared" si="27"/>
        <v>8</v>
      </c>
    </row>
    <row r="27" spans="2:41">
      <c r="B27" s="25" t="str">
        <f t="shared" si="20"/>
        <v>Giants</v>
      </c>
      <c r="C27" s="26">
        <f t="shared" si="21"/>
        <v>7</v>
      </c>
      <c r="D27" s="101">
        <f>F27/EU!$AH$15</f>
        <v>0.99641529474243218</v>
      </c>
      <c r="F27" s="32">
        <f>EU!AD9</f>
        <v>1501</v>
      </c>
      <c r="G27" s="23"/>
      <c r="I27" s="23"/>
      <c r="J27" s="23"/>
      <c r="K27" s="23"/>
      <c r="L27" s="23"/>
      <c r="M27" s="23"/>
      <c r="N27" s="23"/>
      <c r="O27" s="23"/>
      <c r="P27" s="110" t="str">
        <f t="shared" si="22"/>
        <v>Giants</v>
      </c>
      <c r="Q27" s="110"/>
      <c r="R27" s="26">
        <f t="shared" si="23"/>
        <v>1509</v>
      </c>
      <c r="S27" s="26">
        <f t="shared" si="26"/>
        <v>5</v>
      </c>
      <c r="T27" s="23"/>
      <c r="U27" s="23"/>
      <c r="AI27" s="52"/>
      <c r="AJ27" s="54" t="str">
        <f t="shared" si="24"/>
        <v>Giants</v>
      </c>
      <c r="AK27" s="32">
        <f t="shared" si="25"/>
        <v>1009.8711728291785</v>
      </c>
      <c r="AL27" s="26">
        <f t="shared" si="27"/>
        <v>5</v>
      </c>
    </row>
    <row r="28" spans="2:41">
      <c r="B28" s="25" t="str">
        <f t="shared" si="20"/>
        <v>H2k-Gaming</v>
      </c>
      <c r="C28" s="26">
        <f t="shared" si="21"/>
        <v>8</v>
      </c>
      <c r="D28" s="101">
        <f>F28/EU!$AH$15</f>
        <v>0.97716409984067976</v>
      </c>
      <c r="F28" s="32">
        <f>EU!AD10</f>
        <v>1472</v>
      </c>
      <c r="G28" s="23"/>
      <c r="I28" s="23"/>
      <c r="J28" s="23"/>
      <c r="K28" s="23"/>
      <c r="L28" s="23"/>
      <c r="M28" s="23"/>
      <c r="N28" s="23"/>
      <c r="O28" s="23"/>
      <c r="P28" s="110" t="str">
        <f t="shared" si="22"/>
        <v>H2k-Gaming</v>
      </c>
      <c r="Q28" s="110"/>
      <c r="R28" s="26">
        <f t="shared" si="23"/>
        <v>1405.5</v>
      </c>
      <c r="S28" s="26">
        <f t="shared" si="26"/>
        <v>10</v>
      </c>
      <c r="T28" s="23"/>
      <c r="U28" s="23"/>
      <c r="AI28" s="52"/>
      <c r="AJ28" s="54" t="str">
        <f t="shared" si="24"/>
        <v>H2k-Gaming</v>
      </c>
      <c r="AK28" s="32">
        <f t="shared" si="25"/>
        <v>940.60565501087501</v>
      </c>
      <c r="AL28" s="26">
        <f t="shared" si="27"/>
        <v>10</v>
      </c>
    </row>
    <row r="29" spans="2:41">
      <c r="B29" s="25" t="str">
        <f t="shared" si="20"/>
        <v>ROCCAT</v>
      </c>
      <c r="C29" s="26">
        <f t="shared" si="21"/>
        <v>9</v>
      </c>
      <c r="D29" s="101">
        <f>F29/EU!$AH$15</f>
        <v>0.96919808815719588</v>
      </c>
      <c r="F29" s="32">
        <f>EU!AD11</f>
        <v>1460</v>
      </c>
      <c r="G29" s="23"/>
      <c r="I29" s="23"/>
      <c r="J29" s="23"/>
      <c r="K29" s="23"/>
      <c r="L29" s="23"/>
      <c r="M29" s="23"/>
      <c r="N29" s="23"/>
      <c r="O29" s="23"/>
      <c r="P29" s="110" t="str">
        <f t="shared" si="22"/>
        <v>ROCCAT</v>
      </c>
      <c r="Q29" s="110"/>
      <c r="R29" s="26">
        <f t="shared" si="23"/>
        <v>1460</v>
      </c>
      <c r="S29" s="26">
        <f t="shared" si="26"/>
        <v>7</v>
      </c>
      <c r="T29" s="23"/>
      <c r="U29" s="23"/>
      <c r="AI29" s="52"/>
      <c r="AJ29" s="54" t="str">
        <f t="shared" si="24"/>
        <v>ROCCAT</v>
      </c>
      <c r="AK29" s="32">
        <f t="shared" si="25"/>
        <v>977.07880207461938</v>
      </c>
      <c r="AL29" s="26">
        <f t="shared" si="27"/>
        <v>7</v>
      </c>
    </row>
    <row r="30" spans="2:41">
      <c r="B30" s="25" t="str">
        <f t="shared" si="20"/>
        <v>Unicorns Of Love</v>
      </c>
      <c r="C30" s="26">
        <f t="shared" si="21"/>
        <v>10</v>
      </c>
      <c r="D30" s="101">
        <f>F30/EU!$AH$15</f>
        <v>0.95459373340414222</v>
      </c>
      <c r="F30" s="32">
        <f>EU!AD12</f>
        <v>1438</v>
      </c>
      <c r="G30" s="23"/>
      <c r="I30" s="23"/>
      <c r="J30" s="23"/>
      <c r="K30" s="23"/>
      <c r="L30" s="23"/>
      <c r="M30" s="23"/>
      <c r="N30" s="23"/>
      <c r="O30" s="23"/>
      <c r="P30" s="110" t="str">
        <f t="shared" si="22"/>
        <v>Unicorns Of Love</v>
      </c>
      <c r="Q30" s="110"/>
      <c r="R30" s="26">
        <f t="shared" si="23"/>
        <v>1425.5</v>
      </c>
      <c r="S30" s="26">
        <f t="shared" si="26"/>
        <v>9</v>
      </c>
      <c r="T30" s="23"/>
      <c r="U30" s="23"/>
      <c r="AI30" s="52"/>
      <c r="AJ30" s="54" t="str">
        <f t="shared" si="24"/>
        <v>Unicorns Of Love</v>
      </c>
      <c r="AK30" s="32">
        <f t="shared" si="25"/>
        <v>953.99029613518485</v>
      </c>
      <c r="AL30" s="26">
        <f t="shared" si="27"/>
        <v>9</v>
      </c>
    </row>
    <row r="31" spans="2:4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</row>
    <row r="32" spans="2:4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</row>
    <row r="33" spans="2:23" ht="18.75">
      <c r="B33" s="115" t="s">
        <v>308</v>
      </c>
      <c r="C33" s="115"/>
      <c r="D33" s="115"/>
      <c r="E33" s="115"/>
      <c r="F33" s="115"/>
      <c r="G33" s="115"/>
      <c r="H33" s="115"/>
      <c r="I33" s="115"/>
      <c r="J33" s="115"/>
      <c r="K33" s="115"/>
      <c r="L33" s="115"/>
      <c r="M33" s="115"/>
      <c r="N33" s="115"/>
      <c r="O33" s="115"/>
      <c r="P33" s="115"/>
      <c r="Q33" s="115"/>
      <c r="R33" s="115"/>
      <c r="S33" s="115"/>
      <c r="T33" s="115"/>
      <c r="U33" s="115"/>
      <c r="V33" s="115"/>
      <c r="W33" s="115"/>
    </row>
    <row r="34" spans="2:23">
      <c r="B34" s="116" t="s">
        <v>290</v>
      </c>
      <c r="C34" s="116" t="s">
        <v>318</v>
      </c>
      <c r="D34" s="118" t="s">
        <v>292</v>
      </c>
      <c r="E34" s="119"/>
      <c r="F34" s="119"/>
      <c r="G34" s="120"/>
      <c r="H34" s="118" t="s">
        <v>291</v>
      </c>
      <c r="I34" s="119"/>
      <c r="J34" s="119"/>
      <c r="K34" s="120"/>
      <c r="L34" s="118" t="s">
        <v>293</v>
      </c>
      <c r="M34" s="119"/>
      <c r="N34" s="119"/>
      <c r="O34" s="120"/>
      <c r="P34" s="118" t="s">
        <v>294</v>
      </c>
      <c r="Q34" s="119"/>
      <c r="R34" s="119"/>
      <c r="S34" s="120"/>
      <c r="T34" s="111" t="s">
        <v>295</v>
      </c>
      <c r="U34" s="111"/>
      <c r="V34" s="111"/>
      <c r="W34" s="111"/>
    </row>
    <row r="35" spans="2:23">
      <c r="B35" s="117"/>
      <c r="C35" s="117"/>
      <c r="D35" s="28" t="s">
        <v>255</v>
      </c>
      <c r="E35" s="27" t="s">
        <v>256</v>
      </c>
      <c r="F35" s="27" t="s">
        <v>257</v>
      </c>
      <c r="G35" s="27" t="s">
        <v>296</v>
      </c>
      <c r="H35" s="28" t="s">
        <v>255</v>
      </c>
      <c r="I35" s="27" t="s">
        <v>256</v>
      </c>
      <c r="J35" s="27" t="s">
        <v>257</v>
      </c>
      <c r="K35" s="27" t="s">
        <v>296</v>
      </c>
      <c r="L35" s="28" t="s">
        <v>255</v>
      </c>
      <c r="M35" s="27" t="s">
        <v>256</v>
      </c>
      <c r="N35" s="27" t="s">
        <v>257</v>
      </c>
      <c r="O35" s="31" t="s">
        <v>296</v>
      </c>
      <c r="P35" s="28" t="s">
        <v>255</v>
      </c>
      <c r="Q35" s="45" t="s">
        <v>256</v>
      </c>
      <c r="R35" s="45" t="s">
        <v>257</v>
      </c>
      <c r="S35" s="31" t="s">
        <v>296</v>
      </c>
      <c r="T35" s="28" t="s">
        <v>255</v>
      </c>
      <c r="U35" s="27" t="s">
        <v>256</v>
      </c>
      <c r="V35" s="27" t="s">
        <v>257</v>
      </c>
      <c r="W35" s="31" t="s">
        <v>296</v>
      </c>
    </row>
    <row r="36" spans="2:23">
      <c r="B36" s="25" t="str">
        <f>NA!A3</f>
        <v>FlyQuest</v>
      </c>
      <c r="C36" s="44" t="str">
        <f>NA!B3</f>
        <v>FLY</v>
      </c>
      <c r="D36" s="25" t="str">
        <f>NA!C3</f>
        <v>Flame</v>
      </c>
      <c r="E36" s="26" t="str">
        <f>NA!H3</f>
        <v>AnDa</v>
      </c>
      <c r="F36" s="26">
        <f>SUM(NA!F3:G3)</f>
        <v>170</v>
      </c>
      <c r="G36" s="26" t="e">
        <f>RANK(E36,E$36:E$45)</f>
        <v>#VALUE!</v>
      </c>
      <c r="H36" s="25">
        <f>NA!I3</f>
        <v>1477</v>
      </c>
      <c r="I36" s="26">
        <f>NA!N3</f>
        <v>1568</v>
      </c>
      <c r="J36" s="26">
        <f>SUM(NA!L3:M3)</f>
        <v>4</v>
      </c>
      <c r="K36" s="26">
        <f>RANK(I36,I$36:I$45)</f>
        <v>8</v>
      </c>
      <c r="L36" s="25">
        <f>NA!O3</f>
        <v>1492</v>
      </c>
      <c r="M36" s="26">
        <f>NA!T3</f>
        <v>1547</v>
      </c>
      <c r="N36" s="26">
        <f>SUM(NA!R3:S3)</f>
        <v>1576</v>
      </c>
      <c r="O36" s="26">
        <f>RANK(M36,M$36:M$45)</f>
        <v>6</v>
      </c>
      <c r="P36" s="25">
        <f>NA!U3</f>
        <v>182</v>
      </c>
      <c r="Q36" s="26">
        <f>NA!Z3</f>
        <v>9</v>
      </c>
      <c r="R36" s="26">
        <f>SUM(NA!X3:Y3)</f>
        <v>3062</v>
      </c>
      <c r="S36" s="26">
        <f>RANK(Q36,Q$36:Q$45)</f>
        <v>10</v>
      </c>
      <c r="T36" s="25">
        <f>NA!AA3</f>
        <v>17</v>
      </c>
      <c r="U36" s="26" t="e">
        <f>NA!AF3</f>
        <v>#DIV/0!</v>
      </c>
      <c r="V36" s="26">
        <f>SUM(NA!AD3:AE3)</f>
        <v>0</v>
      </c>
      <c r="W36" s="26" t="e">
        <f>RANK(U36,U$36:U$45)</f>
        <v>#DIV/0!</v>
      </c>
    </row>
    <row r="37" spans="2:23">
      <c r="B37" s="25" t="str">
        <f>NA!A4</f>
        <v>100 Thieves</v>
      </c>
      <c r="C37" s="44">
        <f>NA!B4</f>
        <v>100</v>
      </c>
      <c r="D37" s="25" t="str">
        <f>NA!C4</f>
        <v>ssumday</v>
      </c>
      <c r="E37" s="26" t="str">
        <f>NA!H4</f>
        <v>Meteos</v>
      </c>
      <c r="F37" s="26">
        <f>SUM(NA!F4:G4)</f>
        <v>324</v>
      </c>
      <c r="G37" s="26" t="e">
        <f t="shared" ref="G37:G45" si="28">RANK(E37,E$36:E$45)</f>
        <v>#VALUE!</v>
      </c>
      <c r="H37" s="25">
        <f>NA!I4</f>
        <v>1591</v>
      </c>
      <c r="I37" s="26">
        <f>NA!N4</f>
        <v>1594</v>
      </c>
      <c r="J37" s="26">
        <f>SUM(NA!L4:M4)</f>
        <v>115</v>
      </c>
      <c r="K37" s="26">
        <f t="shared" ref="K37:K45" si="29">RANK(I37,I$36:I$45)</f>
        <v>5</v>
      </c>
      <c r="L37" s="25">
        <f>NA!O4</f>
        <v>1494</v>
      </c>
      <c r="M37" s="26">
        <f>NA!T4</f>
        <v>1536</v>
      </c>
      <c r="N37" s="26">
        <f>SUM(NA!R4:S4)</f>
        <v>1661</v>
      </c>
      <c r="O37" s="26">
        <f t="shared" ref="O37:O44" si="30">RANK(M37,M$36:M$45)</f>
        <v>7</v>
      </c>
      <c r="P37" s="25">
        <f>NA!U4</f>
        <v>58</v>
      </c>
      <c r="Q37" s="26">
        <f>NA!Z4</f>
        <v>186</v>
      </c>
      <c r="R37" s="26">
        <f>SUM(NA!X4:Y4)</f>
        <v>3155</v>
      </c>
      <c r="S37" s="26">
        <f t="shared" ref="S37:S45" si="31">RANK(Q37,Q$36:Q$45)</f>
        <v>1</v>
      </c>
      <c r="T37" s="25">
        <f>NA!AA4</f>
        <v>176</v>
      </c>
      <c r="U37" s="26" t="e">
        <f>NA!AF4</f>
        <v>#DIV/0!</v>
      </c>
      <c r="V37" s="26">
        <f>SUM(NA!AD4:AE4)</f>
        <v>0</v>
      </c>
      <c r="W37" s="26" t="e">
        <f t="shared" ref="W37:W45" si="32">RANK(U37,U$36:U$45)</f>
        <v>#DIV/0!</v>
      </c>
    </row>
    <row r="38" spans="2:23">
      <c r="B38" s="25" t="str">
        <f>NA!A5</f>
        <v>CLG</v>
      </c>
      <c r="C38" s="44" t="str">
        <f>NA!B5</f>
        <v>CLG</v>
      </c>
      <c r="D38" s="25" t="str">
        <f>NA!C5</f>
        <v>Darshan</v>
      </c>
      <c r="E38" s="26" t="str">
        <f>NA!H5</f>
        <v>Reignover</v>
      </c>
      <c r="F38" s="26">
        <f>SUM(NA!F5:G5)</f>
        <v>360</v>
      </c>
      <c r="G38" s="26" t="e">
        <f t="shared" si="28"/>
        <v>#VALUE!</v>
      </c>
      <c r="H38" s="25">
        <f>NA!I5</f>
        <v>1575</v>
      </c>
      <c r="I38" s="26">
        <f>NA!N5</f>
        <v>1552</v>
      </c>
      <c r="J38" s="26">
        <f>SUM(NA!L5:M5)</f>
        <v>118</v>
      </c>
      <c r="K38" s="26">
        <f t="shared" si="29"/>
        <v>9</v>
      </c>
      <c r="L38" s="25">
        <f>NA!O5</f>
        <v>1585</v>
      </c>
      <c r="M38" s="26">
        <f>NA!T5</f>
        <v>1585</v>
      </c>
      <c r="N38" s="26">
        <f>SUM(NA!R5:S5)</f>
        <v>1558</v>
      </c>
      <c r="O38" s="26">
        <f t="shared" si="30"/>
        <v>4</v>
      </c>
      <c r="P38" s="25">
        <f>NA!U5</f>
        <v>124</v>
      </c>
      <c r="Q38" s="26">
        <f>NA!Z5</f>
        <v>93</v>
      </c>
      <c r="R38" s="26">
        <f>SUM(NA!X5:Y5)</f>
        <v>3387</v>
      </c>
      <c r="S38" s="26">
        <f t="shared" si="31"/>
        <v>7</v>
      </c>
      <c r="T38" s="25">
        <f>NA!AA5</f>
        <v>104</v>
      </c>
      <c r="U38" s="26" t="e">
        <f>NA!AF5</f>
        <v>#DIV/0!</v>
      </c>
      <c r="V38" s="26">
        <f>SUM(NA!AD5:AE5)</f>
        <v>0</v>
      </c>
      <c r="W38" s="26" t="e">
        <f t="shared" si="32"/>
        <v>#DIV/0!</v>
      </c>
    </row>
    <row r="39" spans="2:23">
      <c r="B39" s="25" t="str">
        <f>NA!A6</f>
        <v>Team SoloMid</v>
      </c>
      <c r="C39" s="44" t="str">
        <f>NA!B6</f>
        <v>TSM</v>
      </c>
      <c r="D39" s="25" t="str">
        <f>NA!C6</f>
        <v>Hauntzer</v>
      </c>
      <c r="E39" s="26" t="str">
        <f>NA!H6</f>
        <v>MikeYeung</v>
      </c>
      <c r="F39" s="26">
        <f>SUM(NA!F6:G6)</f>
        <v>284</v>
      </c>
      <c r="G39" s="26" t="e">
        <f t="shared" si="28"/>
        <v>#VALUE!</v>
      </c>
      <c r="H39" s="25">
        <f>NA!I6</f>
        <v>1540</v>
      </c>
      <c r="I39" s="26">
        <f>NA!N6</f>
        <v>1703</v>
      </c>
      <c r="J39" s="26">
        <f>SUM(NA!L6:M6)</f>
        <v>30</v>
      </c>
      <c r="K39" s="26">
        <f t="shared" si="29"/>
        <v>1</v>
      </c>
      <c r="L39" s="25">
        <f>NA!O6</f>
        <v>1614</v>
      </c>
      <c r="M39" s="26">
        <f>NA!T6</f>
        <v>1579</v>
      </c>
      <c r="N39" s="26">
        <f>SUM(NA!R6:S6)</f>
        <v>1629</v>
      </c>
      <c r="O39" s="26">
        <f t="shared" si="30"/>
        <v>5</v>
      </c>
      <c r="P39" s="25">
        <f>NA!U6</f>
        <v>137</v>
      </c>
      <c r="Q39" s="26">
        <f>NA!Z6</f>
        <v>141</v>
      </c>
      <c r="R39" s="26">
        <f>SUM(NA!X6:Y6)</f>
        <v>3224</v>
      </c>
      <c r="S39" s="26">
        <f t="shared" si="31"/>
        <v>3</v>
      </c>
      <c r="T39" s="25">
        <f>NA!AA6</f>
        <v>129</v>
      </c>
      <c r="U39" s="26" t="e">
        <f>NA!AF6</f>
        <v>#DIV/0!</v>
      </c>
      <c r="V39" s="26">
        <f>SUM(NA!AD6:AE6)</f>
        <v>0</v>
      </c>
      <c r="W39" s="26" t="e">
        <f t="shared" si="32"/>
        <v>#DIV/0!</v>
      </c>
    </row>
    <row r="40" spans="2:23">
      <c r="B40" s="25" t="str">
        <f>NA!A7</f>
        <v>Cloud 9</v>
      </c>
      <c r="C40" s="44" t="str">
        <f>NA!B7</f>
        <v>C9</v>
      </c>
      <c r="D40" s="25" t="str">
        <f>NA!C7</f>
        <v>Licorice</v>
      </c>
      <c r="E40" s="26" t="str">
        <f>NA!H7</f>
        <v>Svenskeren</v>
      </c>
      <c r="F40" s="26">
        <f>SUM(NA!F7:G7)</f>
        <v>69</v>
      </c>
      <c r="G40" s="26" t="e">
        <f t="shared" si="28"/>
        <v>#VALUE!</v>
      </c>
      <c r="H40" s="25">
        <f>NA!I7</f>
        <v>1695</v>
      </c>
      <c r="I40" s="26">
        <f>NA!N7</f>
        <v>1612</v>
      </c>
      <c r="J40" s="26">
        <f>SUM(NA!L7:M7)</f>
        <v>183</v>
      </c>
      <c r="K40" s="26">
        <f t="shared" si="29"/>
        <v>3</v>
      </c>
      <c r="L40" s="25">
        <f>NA!O7</f>
        <v>1664</v>
      </c>
      <c r="M40" s="26">
        <f>NA!T7</f>
        <v>1653</v>
      </c>
      <c r="N40" s="26">
        <f>SUM(NA!R7:S7)</f>
        <v>1616</v>
      </c>
      <c r="O40" s="26">
        <f t="shared" si="30"/>
        <v>1</v>
      </c>
      <c r="P40" s="25">
        <f>NA!U7</f>
        <v>199</v>
      </c>
      <c r="Q40" s="26">
        <f>NA!Z7</f>
        <v>97</v>
      </c>
      <c r="R40" s="26">
        <f>SUM(NA!X7:Y7)</f>
        <v>3252</v>
      </c>
      <c r="S40" s="26">
        <f t="shared" si="31"/>
        <v>6</v>
      </c>
      <c r="T40" s="25">
        <f>NA!AA7</f>
        <v>105</v>
      </c>
      <c r="U40" s="26" t="e">
        <f>NA!AF7</f>
        <v>#DIV/0!</v>
      </c>
      <c r="V40" s="26">
        <f>SUM(NA!AD7:AE7)</f>
        <v>0</v>
      </c>
      <c r="W40" s="26" t="e">
        <f t="shared" si="32"/>
        <v>#DIV/0!</v>
      </c>
    </row>
    <row r="41" spans="2:23">
      <c r="B41" s="25" t="str">
        <f>NA!A8</f>
        <v>Optic Gaming</v>
      </c>
      <c r="C41" s="44" t="str">
        <f>NA!B8</f>
        <v>OpTic</v>
      </c>
      <c r="D41" s="25" t="str">
        <f>NA!C8</f>
        <v>Zig</v>
      </c>
      <c r="E41" s="26" t="str">
        <f>NA!H8</f>
        <v>Akaadian</v>
      </c>
      <c r="F41" s="26">
        <f>SUM(NA!F8:G8)</f>
        <v>162</v>
      </c>
      <c r="G41" s="26" t="e">
        <f t="shared" si="28"/>
        <v>#VALUE!</v>
      </c>
      <c r="H41" s="25">
        <f>NA!I8</f>
        <v>1417</v>
      </c>
      <c r="I41" s="26">
        <f>NA!N8</f>
        <v>1585</v>
      </c>
      <c r="J41" s="26">
        <f>SUM(NA!L8:M8)</f>
        <v>40</v>
      </c>
      <c r="K41" s="26">
        <f t="shared" si="29"/>
        <v>7</v>
      </c>
      <c r="L41" s="25">
        <f>NA!O8</f>
        <v>1463</v>
      </c>
      <c r="M41" s="26">
        <f>NA!T8</f>
        <v>1472</v>
      </c>
      <c r="N41" s="26">
        <f>SUM(NA!R8:S8)</f>
        <v>1570</v>
      </c>
      <c r="O41" s="26">
        <f t="shared" si="30"/>
        <v>8</v>
      </c>
      <c r="P41" s="25">
        <f>NA!U8</f>
        <v>169</v>
      </c>
      <c r="Q41" s="26">
        <f>NA!Z8</f>
        <v>150</v>
      </c>
      <c r="R41" s="26">
        <f>SUM(NA!X8:Y8)</f>
        <v>2989</v>
      </c>
      <c r="S41" s="26">
        <f t="shared" si="31"/>
        <v>2</v>
      </c>
      <c r="T41" s="25">
        <f>NA!AA8</f>
        <v>131</v>
      </c>
      <c r="U41" s="26" t="e">
        <f>NA!AF8</f>
        <v>#DIV/0!</v>
      </c>
      <c r="V41" s="26">
        <f>SUM(NA!AD8:AE8)</f>
        <v>0</v>
      </c>
      <c r="W41" s="26" t="e">
        <f t="shared" si="32"/>
        <v>#DIV/0!</v>
      </c>
    </row>
    <row r="42" spans="2:23">
      <c r="B42" s="25" t="str">
        <f>NA!A9</f>
        <v>Echo Fox</v>
      </c>
      <c r="C42" s="44" t="str">
        <f>NA!B9</f>
        <v>FOX</v>
      </c>
      <c r="D42" s="25" t="str">
        <f>NA!C9</f>
        <v>Huni</v>
      </c>
      <c r="E42" s="26" t="str">
        <f>NA!H9</f>
        <v>Dardoch</v>
      </c>
      <c r="F42" s="26">
        <f>SUM(NA!F9:G9)</f>
        <v>254</v>
      </c>
      <c r="G42" s="26" t="e">
        <f t="shared" si="28"/>
        <v>#VALUE!</v>
      </c>
      <c r="H42" s="25">
        <f>NA!I9</f>
        <v>1573</v>
      </c>
      <c r="I42" s="26">
        <f>NA!N9</f>
        <v>1588</v>
      </c>
      <c r="J42" s="26">
        <f>SUM(NA!L9:M9)</f>
        <v>89</v>
      </c>
      <c r="K42" s="26">
        <f t="shared" si="29"/>
        <v>6</v>
      </c>
      <c r="L42" s="25">
        <f>NA!O9</f>
        <v>1513</v>
      </c>
      <c r="M42" s="26">
        <f>NA!T9</f>
        <v>1593</v>
      </c>
      <c r="N42" s="26">
        <f>SUM(NA!R9:S9)</f>
        <v>1512</v>
      </c>
      <c r="O42" s="26">
        <f t="shared" si="30"/>
        <v>3</v>
      </c>
      <c r="P42" s="25">
        <f>NA!U9</f>
        <v>98</v>
      </c>
      <c r="Q42" s="26">
        <f>NA!Z9</f>
        <v>108</v>
      </c>
      <c r="R42" s="26">
        <f>SUM(NA!X9:Y9)</f>
        <v>3160</v>
      </c>
      <c r="S42" s="26">
        <f t="shared" si="31"/>
        <v>4</v>
      </c>
      <c r="T42" s="25">
        <f>NA!AA9</f>
        <v>104</v>
      </c>
      <c r="U42" s="26" t="e">
        <f>NA!AF9</f>
        <v>#DIV/0!</v>
      </c>
      <c r="V42" s="26">
        <f>SUM(NA!AD9:AE9)</f>
        <v>0</v>
      </c>
      <c r="W42" s="26" t="e">
        <f t="shared" si="32"/>
        <v>#DIV/0!</v>
      </c>
    </row>
    <row r="43" spans="2:23">
      <c r="B43" s="25" t="str">
        <f>NA!A10</f>
        <v>Team Liquid</v>
      </c>
      <c r="C43" s="44" t="str">
        <f>NA!B10</f>
        <v>TL</v>
      </c>
      <c r="D43" s="25" t="str">
        <f>NA!C10</f>
        <v>Impact</v>
      </c>
      <c r="E43" s="26" t="str">
        <f>NA!H10</f>
        <v>Xmithie</v>
      </c>
      <c r="F43" s="26">
        <f>SUM(NA!F10:G10)</f>
        <v>278</v>
      </c>
      <c r="G43" s="26" t="e">
        <f t="shared" si="28"/>
        <v>#VALUE!</v>
      </c>
      <c r="H43" s="25">
        <f>NA!I10</f>
        <v>1625</v>
      </c>
      <c r="I43" s="26">
        <f>NA!N10</f>
        <v>1623</v>
      </c>
      <c r="J43" s="26">
        <f>SUM(NA!L10:M10)</f>
        <v>143</v>
      </c>
      <c r="K43" s="26">
        <f t="shared" si="29"/>
        <v>2</v>
      </c>
      <c r="L43" s="25">
        <f>NA!O10</f>
        <v>1577</v>
      </c>
      <c r="M43" s="26">
        <f>NA!T10</f>
        <v>1622</v>
      </c>
      <c r="N43" s="26">
        <f>SUM(NA!R10:S10)</f>
        <v>1703</v>
      </c>
      <c r="O43" s="26">
        <f t="shared" si="30"/>
        <v>2</v>
      </c>
      <c r="P43" s="25">
        <f>NA!U10</f>
        <v>155</v>
      </c>
      <c r="Q43" s="26">
        <f>NA!Z10</f>
        <v>72</v>
      </c>
      <c r="R43" s="26">
        <f>SUM(NA!X10:Y10)</f>
        <v>3187</v>
      </c>
      <c r="S43" s="26">
        <f t="shared" si="31"/>
        <v>9</v>
      </c>
      <c r="T43" s="25">
        <f>NA!AA10</f>
        <v>75</v>
      </c>
      <c r="U43" s="26" t="e">
        <f>NA!AF10</f>
        <v>#DIV/0!</v>
      </c>
      <c r="V43" s="26">
        <f>SUM(NA!AD10:AE10)</f>
        <v>0</v>
      </c>
      <c r="W43" s="26" t="e">
        <f>RANK(U43,U$36:U$45)</f>
        <v>#DIV/0!</v>
      </c>
    </row>
    <row r="44" spans="2:23">
      <c r="B44" s="25" t="str">
        <f>NA!A11</f>
        <v>Clutch Gaming</v>
      </c>
      <c r="C44" s="44" t="str">
        <f>NA!B11</f>
        <v>Clutch</v>
      </c>
      <c r="D44" s="25" t="str">
        <f>NA!C11</f>
        <v>Solo</v>
      </c>
      <c r="E44" s="26" t="str">
        <f>NA!H11</f>
        <v>Lira</v>
      </c>
      <c r="F44" s="26">
        <f>SUM(NA!F11:G11)</f>
        <v>88</v>
      </c>
      <c r="G44" s="26" t="e">
        <f>RANK(E44,E$36:E$45)</f>
        <v>#VALUE!</v>
      </c>
      <c r="H44" s="25">
        <f>NA!I11</f>
        <v>1583</v>
      </c>
      <c r="I44" s="26">
        <f>NA!N11</f>
        <v>1608</v>
      </c>
      <c r="J44" s="26">
        <f>SUM(NA!L11:M11)</f>
        <v>125</v>
      </c>
      <c r="K44" s="26">
        <f t="shared" si="29"/>
        <v>4</v>
      </c>
      <c r="L44" s="25">
        <f>NA!O11</f>
        <v>1489</v>
      </c>
      <c r="M44" s="26">
        <f>NA!T11</f>
        <v>1359</v>
      </c>
      <c r="N44" s="26">
        <f>SUM(NA!R11:S11)</f>
        <v>1568</v>
      </c>
      <c r="O44" s="26">
        <f t="shared" si="30"/>
        <v>10</v>
      </c>
      <c r="P44" s="25">
        <f>NA!U11</f>
        <v>135</v>
      </c>
      <c r="Q44" s="26">
        <f>NA!Z11</f>
        <v>86</v>
      </c>
      <c r="R44" s="26">
        <f>SUM(NA!X11:Y11)</f>
        <v>2957</v>
      </c>
      <c r="S44" s="26">
        <f t="shared" si="31"/>
        <v>8</v>
      </c>
      <c r="T44" s="25">
        <f>NA!AA11</f>
        <v>96</v>
      </c>
      <c r="U44" s="26" t="e">
        <f>NA!AF11</f>
        <v>#DIV/0!</v>
      </c>
      <c r="V44" s="26">
        <f>SUM(NA!AD11:AE11)</f>
        <v>0</v>
      </c>
      <c r="W44" s="26" t="e">
        <f t="shared" si="32"/>
        <v>#DIV/0!</v>
      </c>
    </row>
    <row r="45" spans="2:23">
      <c r="B45" s="25" t="str">
        <f>NA!A12</f>
        <v>Golden Guardians</v>
      </c>
      <c r="C45" s="44" t="str">
        <f>NA!B12</f>
        <v>GGS</v>
      </c>
      <c r="D45" s="25" t="str">
        <f>NA!C12</f>
        <v>Lourlo</v>
      </c>
      <c r="E45" s="26" t="str">
        <f>NA!H12</f>
        <v>Contractz</v>
      </c>
      <c r="F45" s="26">
        <f>SUM(NA!F12:G12)</f>
        <v>198</v>
      </c>
      <c r="G45" s="26" t="e">
        <f t="shared" si="28"/>
        <v>#VALUE!</v>
      </c>
      <c r="H45" s="25">
        <f>NA!I12</f>
        <v>1579</v>
      </c>
      <c r="I45" s="26">
        <f>NA!N12</f>
        <v>1455</v>
      </c>
      <c r="J45" s="26">
        <f>SUM(NA!L12:M12)</f>
        <v>70</v>
      </c>
      <c r="K45" s="26">
        <f t="shared" si="29"/>
        <v>10</v>
      </c>
      <c r="L45" s="25">
        <f>NA!O12</f>
        <v>1491</v>
      </c>
      <c r="M45" s="26">
        <f>NA!T12</f>
        <v>1452</v>
      </c>
      <c r="N45" s="26">
        <f>SUM(NA!R12:S12)</f>
        <v>1475</v>
      </c>
      <c r="O45" s="26">
        <f>RANK(M45,M$36:M$45)</f>
        <v>9</v>
      </c>
      <c r="P45" s="25">
        <f>NA!U12</f>
        <v>34</v>
      </c>
      <c r="Q45" s="26">
        <f>NA!Z12</f>
        <v>98</v>
      </c>
      <c r="R45" s="26">
        <f>SUM(NA!X12:Y12)</f>
        <v>2868</v>
      </c>
      <c r="S45" s="26">
        <f t="shared" si="31"/>
        <v>5</v>
      </c>
      <c r="T45" s="25">
        <f>NA!AA12</f>
        <v>90</v>
      </c>
      <c r="U45" s="26" t="e">
        <f>NA!AF12</f>
        <v>#DIV/0!</v>
      </c>
      <c r="V45" s="26">
        <f>SUM(NA!AD12:AE12)</f>
        <v>0</v>
      </c>
      <c r="W45" s="26" t="e">
        <f t="shared" si="32"/>
        <v>#DIV/0!</v>
      </c>
    </row>
    <row r="46" spans="2:23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</row>
    <row r="47" spans="2:23">
      <c r="B47" s="111" t="s">
        <v>386</v>
      </c>
      <c r="C47" s="111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P47" s="112" t="s">
        <v>310</v>
      </c>
      <c r="Q47" s="113"/>
      <c r="R47" s="113"/>
      <c r="S47" s="114"/>
      <c r="T47" s="23"/>
      <c r="U47" s="23"/>
      <c r="V47" s="23"/>
    </row>
    <row r="48" spans="2:23">
      <c r="B48" s="27" t="s">
        <v>255</v>
      </c>
      <c r="C48" s="47" t="s">
        <v>296</v>
      </c>
      <c r="D48" s="33" t="s">
        <v>298</v>
      </c>
      <c r="F48" s="27" t="s">
        <v>256</v>
      </c>
      <c r="H48" s="23"/>
      <c r="I48" s="23"/>
      <c r="J48" s="23"/>
      <c r="K48" s="23"/>
      <c r="L48" s="23"/>
      <c r="M48" s="23"/>
      <c r="N48" s="23"/>
      <c r="P48" s="112" t="s">
        <v>311</v>
      </c>
      <c r="Q48" s="114"/>
      <c r="R48" s="35" t="s">
        <v>256</v>
      </c>
      <c r="S48" s="35" t="s">
        <v>296</v>
      </c>
      <c r="T48" s="23"/>
      <c r="U48" s="23"/>
      <c r="V48" s="23"/>
    </row>
    <row r="49" spans="2:23">
      <c r="B49" s="25" t="str">
        <f t="shared" ref="B49:B58" si="33">B36</f>
        <v>FlyQuest</v>
      </c>
      <c r="C49" s="26" t="e">
        <f t="shared" ref="C49:C58" si="34">RANK(F49,$F$49:$F$58)</f>
        <v>#DIV/0!</v>
      </c>
      <c r="D49" s="101" t="e">
        <f>F49/NA!$AH$15</f>
        <v>#DIV/0!</v>
      </c>
      <c r="F49" s="32" t="e">
        <f>NA!AH3</f>
        <v>#DIV/0!</v>
      </c>
      <c r="H49" s="23"/>
      <c r="I49" s="23"/>
      <c r="J49" s="23"/>
      <c r="K49" s="23"/>
      <c r="L49" s="23"/>
      <c r="M49" s="23"/>
      <c r="N49" s="23"/>
      <c r="P49" s="110" t="str">
        <f t="shared" ref="P49:P58" si="35">B49</f>
        <v>FlyQuest</v>
      </c>
      <c r="Q49" s="110"/>
      <c r="R49" s="25" t="e">
        <f t="shared" ref="R49:R58" si="36">(Q36+U36)/2</f>
        <v>#DIV/0!</v>
      </c>
      <c r="S49" s="26" t="e">
        <f t="shared" ref="S49:S58" si="37">RANK(R49,R$49:R$58)</f>
        <v>#DIV/0!</v>
      </c>
      <c r="T49" s="23"/>
      <c r="U49" s="23"/>
      <c r="V49" s="23"/>
    </row>
    <row r="50" spans="2:23">
      <c r="B50" s="25" t="str">
        <f t="shared" si="33"/>
        <v>100 Thieves</v>
      </c>
      <c r="C50" s="26" t="e">
        <f t="shared" si="34"/>
        <v>#DIV/0!</v>
      </c>
      <c r="D50" s="101" t="e">
        <f>F50/NA!$AH$15</f>
        <v>#DIV/0!</v>
      </c>
      <c r="F50" s="32" t="e">
        <f>NA!AH4</f>
        <v>#DIV/0!</v>
      </c>
      <c r="H50" s="99" t="s">
        <v>388</v>
      </c>
      <c r="I50" s="25" t="e">
        <f>NA!$AH$15</f>
        <v>#DIV/0!</v>
      </c>
      <c r="J50" s="23"/>
      <c r="K50" s="23"/>
      <c r="L50" s="23"/>
      <c r="M50" s="23"/>
      <c r="N50" s="23"/>
      <c r="P50" s="110" t="str">
        <f t="shared" si="35"/>
        <v>100 Thieves</v>
      </c>
      <c r="Q50" s="110"/>
      <c r="R50" s="25" t="e">
        <f t="shared" si="36"/>
        <v>#DIV/0!</v>
      </c>
      <c r="S50" s="26" t="e">
        <f t="shared" si="37"/>
        <v>#DIV/0!</v>
      </c>
      <c r="T50" s="23"/>
      <c r="U50" s="23"/>
    </row>
    <row r="51" spans="2:23">
      <c r="B51" s="25" t="str">
        <f t="shared" si="33"/>
        <v>CLG</v>
      </c>
      <c r="C51" s="26" t="e">
        <f t="shared" si="34"/>
        <v>#DIV/0!</v>
      </c>
      <c r="D51" s="101" t="e">
        <f>F51/NA!$AH$15</f>
        <v>#DIV/0!</v>
      </c>
      <c r="F51" s="32" t="e">
        <f>NA!AH5</f>
        <v>#DIV/0!</v>
      </c>
      <c r="H51" s="23"/>
      <c r="I51" s="23"/>
      <c r="J51" s="23"/>
      <c r="K51" s="23"/>
      <c r="L51" s="23"/>
      <c r="M51" s="23"/>
      <c r="N51" s="23"/>
      <c r="P51" s="110" t="str">
        <f t="shared" si="35"/>
        <v>CLG</v>
      </c>
      <c r="Q51" s="110"/>
      <c r="R51" s="25" t="e">
        <f t="shared" si="36"/>
        <v>#DIV/0!</v>
      </c>
      <c r="S51" s="26" t="e">
        <f t="shared" si="37"/>
        <v>#DIV/0!</v>
      </c>
      <c r="T51" s="23"/>
      <c r="U51" s="23"/>
    </row>
    <row r="52" spans="2:23">
      <c r="B52" s="25" t="str">
        <f t="shared" si="33"/>
        <v>Team SoloMid</v>
      </c>
      <c r="C52" s="26" t="e">
        <f t="shared" si="34"/>
        <v>#DIV/0!</v>
      </c>
      <c r="D52" s="101" t="e">
        <f>F52/NA!$AH$15</f>
        <v>#DIV/0!</v>
      </c>
      <c r="F52" s="32" t="e">
        <f>NA!AH6</f>
        <v>#DIV/0!</v>
      </c>
      <c r="H52" s="23"/>
      <c r="I52" s="23"/>
      <c r="J52" s="23"/>
      <c r="K52" s="23"/>
      <c r="L52" s="23"/>
      <c r="M52" s="23"/>
      <c r="N52" s="23"/>
      <c r="P52" s="110" t="str">
        <f t="shared" si="35"/>
        <v>Team SoloMid</v>
      </c>
      <c r="Q52" s="110"/>
      <c r="R52" s="25" t="e">
        <f t="shared" si="36"/>
        <v>#DIV/0!</v>
      </c>
      <c r="S52" s="26" t="e">
        <f t="shared" si="37"/>
        <v>#DIV/0!</v>
      </c>
      <c r="T52" s="23"/>
      <c r="U52" s="23"/>
    </row>
    <row r="53" spans="2:23">
      <c r="B53" s="25" t="str">
        <f t="shared" si="33"/>
        <v>Cloud 9</v>
      </c>
      <c r="C53" s="26" t="e">
        <f t="shared" si="34"/>
        <v>#DIV/0!</v>
      </c>
      <c r="D53" s="101" t="e">
        <f>F53/NA!$AH$15</f>
        <v>#DIV/0!</v>
      </c>
      <c r="F53" s="32" t="e">
        <f>NA!AH7</f>
        <v>#DIV/0!</v>
      </c>
      <c r="H53" s="23"/>
      <c r="I53" s="23"/>
      <c r="J53" s="23"/>
      <c r="K53" s="23"/>
      <c r="L53" s="23"/>
      <c r="M53" s="23"/>
      <c r="N53" s="23"/>
      <c r="P53" s="110" t="str">
        <f t="shared" si="35"/>
        <v>Cloud 9</v>
      </c>
      <c r="Q53" s="110"/>
      <c r="R53" s="25" t="e">
        <f t="shared" si="36"/>
        <v>#DIV/0!</v>
      </c>
      <c r="S53" s="26" t="e">
        <f t="shared" si="37"/>
        <v>#DIV/0!</v>
      </c>
      <c r="T53" s="23"/>
      <c r="U53" s="23"/>
    </row>
    <row r="54" spans="2:23">
      <c r="B54" s="25" t="str">
        <f t="shared" si="33"/>
        <v>Optic Gaming</v>
      </c>
      <c r="C54" s="26" t="e">
        <f t="shared" si="34"/>
        <v>#DIV/0!</v>
      </c>
      <c r="D54" s="101" t="e">
        <f>F54/NA!$AH$15</f>
        <v>#DIV/0!</v>
      </c>
      <c r="F54" s="32" t="e">
        <f>NA!AH8</f>
        <v>#DIV/0!</v>
      </c>
      <c r="H54" s="23"/>
      <c r="I54" s="23"/>
      <c r="N54" s="23"/>
      <c r="P54" s="110" t="str">
        <f t="shared" si="35"/>
        <v>Optic Gaming</v>
      </c>
      <c r="Q54" s="110"/>
      <c r="R54" s="25" t="e">
        <f t="shared" si="36"/>
        <v>#DIV/0!</v>
      </c>
      <c r="S54" s="26" t="e">
        <f t="shared" si="37"/>
        <v>#DIV/0!</v>
      </c>
      <c r="T54" s="23"/>
      <c r="U54" s="23"/>
    </row>
    <row r="55" spans="2:23">
      <c r="B55" s="25" t="str">
        <f t="shared" si="33"/>
        <v>Echo Fox</v>
      </c>
      <c r="C55" s="26" t="e">
        <f t="shared" si="34"/>
        <v>#DIV/0!</v>
      </c>
      <c r="D55" s="101" t="e">
        <f>F55/NA!$AH$15</f>
        <v>#DIV/0!</v>
      </c>
      <c r="F55" s="32" t="e">
        <f>NA!AH9</f>
        <v>#DIV/0!</v>
      </c>
      <c r="H55" s="23"/>
      <c r="I55" s="23"/>
      <c r="N55" s="23"/>
      <c r="P55" s="110" t="str">
        <f t="shared" si="35"/>
        <v>Echo Fox</v>
      </c>
      <c r="Q55" s="110"/>
      <c r="R55" s="25" t="e">
        <f t="shared" si="36"/>
        <v>#DIV/0!</v>
      </c>
      <c r="S55" s="26" t="e">
        <f t="shared" si="37"/>
        <v>#DIV/0!</v>
      </c>
      <c r="T55" s="23"/>
      <c r="U55" s="23"/>
    </row>
    <row r="56" spans="2:23">
      <c r="B56" s="25" t="str">
        <f t="shared" si="33"/>
        <v>Team Liquid</v>
      </c>
      <c r="C56" s="26" t="e">
        <f t="shared" si="34"/>
        <v>#DIV/0!</v>
      </c>
      <c r="D56" s="101" t="e">
        <f>F56/NA!$AH$15</f>
        <v>#DIV/0!</v>
      </c>
      <c r="F56" s="32" t="e">
        <f>NA!AH10</f>
        <v>#DIV/0!</v>
      </c>
      <c r="H56" s="23"/>
      <c r="I56" s="23"/>
      <c r="N56" s="23"/>
      <c r="P56" s="110" t="str">
        <f t="shared" si="35"/>
        <v>Team Liquid</v>
      </c>
      <c r="Q56" s="110"/>
      <c r="R56" s="25" t="e">
        <f t="shared" si="36"/>
        <v>#DIV/0!</v>
      </c>
      <c r="S56" s="26" t="e">
        <f t="shared" si="37"/>
        <v>#DIV/0!</v>
      </c>
      <c r="T56" s="23"/>
      <c r="U56" s="23"/>
    </row>
    <row r="57" spans="2:23">
      <c r="B57" s="25" t="str">
        <f t="shared" si="33"/>
        <v>Clutch Gaming</v>
      </c>
      <c r="C57" s="26" t="e">
        <f t="shared" si="34"/>
        <v>#DIV/0!</v>
      </c>
      <c r="D57" s="101" t="e">
        <f>F57/NA!$AH$15</f>
        <v>#DIV/0!</v>
      </c>
      <c r="F57" s="32" t="e">
        <f>NA!AH11</f>
        <v>#DIV/0!</v>
      </c>
      <c r="H57" s="23"/>
      <c r="I57" s="23"/>
      <c r="N57" s="23"/>
      <c r="P57" s="110" t="str">
        <f t="shared" si="35"/>
        <v>Clutch Gaming</v>
      </c>
      <c r="Q57" s="110"/>
      <c r="R57" s="25" t="e">
        <f t="shared" si="36"/>
        <v>#DIV/0!</v>
      </c>
      <c r="S57" s="26" t="e">
        <f t="shared" si="37"/>
        <v>#DIV/0!</v>
      </c>
      <c r="T57" s="23"/>
      <c r="U57" s="23"/>
    </row>
    <row r="58" spans="2:23">
      <c r="B58" s="25" t="str">
        <f t="shared" si="33"/>
        <v>Golden Guardians</v>
      </c>
      <c r="C58" s="26" t="e">
        <f t="shared" si="34"/>
        <v>#DIV/0!</v>
      </c>
      <c r="D58" s="101" t="e">
        <f>F58/NA!$AH$15</f>
        <v>#DIV/0!</v>
      </c>
      <c r="F58" s="32" t="e">
        <f>NA!AH12</f>
        <v>#DIV/0!</v>
      </c>
      <c r="H58" s="23"/>
      <c r="I58" s="23"/>
      <c r="N58" s="23"/>
      <c r="P58" s="110" t="str">
        <f t="shared" si="35"/>
        <v>Golden Guardians</v>
      </c>
      <c r="Q58" s="110"/>
      <c r="R58" s="25" t="e">
        <f t="shared" si="36"/>
        <v>#DIV/0!</v>
      </c>
      <c r="S58" s="26" t="e">
        <f t="shared" si="37"/>
        <v>#DIV/0!</v>
      </c>
      <c r="T58" s="23"/>
      <c r="U58" s="23"/>
    </row>
    <row r="61" spans="2:23" ht="18.75">
      <c r="B61" s="115" t="s">
        <v>280</v>
      </c>
      <c r="C61" s="115"/>
      <c r="D61" s="115"/>
      <c r="E61" s="115"/>
      <c r="F61" s="115"/>
      <c r="G61" s="115"/>
      <c r="H61" s="115"/>
      <c r="I61" s="115"/>
      <c r="J61" s="115"/>
      <c r="K61" s="115"/>
      <c r="L61" s="115"/>
      <c r="M61" s="115"/>
      <c r="N61" s="115"/>
      <c r="O61" s="115"/>
      <c r="P61" s="115"/>
      <c r="Q61" s="115"/>
      <c r="R61" s="115"/>
      <c r="S61" s="115"/>
      <c r="T61" s="115"/>
      <c r="U61" s="115"/>
      <c r="V61" s="115"/>
      <c r="W61" s="115"/>
    </row>
    <row r="62" spans="2:23">
      <c r="B62" s="116" t="s">
        <v>290</v>
      </c>
      <c r="C62" s="116" t="s">
        <v>318</v>
      </c>
      <c r="D62" s="118" t="s">
        <v>292</v>
      </c>
      <c r="E62" s="119"/>
      <c r="F62" s="119"/>
      <c r="G62" s="120"/>
      <c r="H62" s="118" t="s">
        <v>291</v>
      </c>
      <c r="I62" s="119"/>
      <c r="J62" s="119"/>
      <c r="K62" s="120"/>
      <c r="L62" s="118" t="s">
        <v>293</v>
      </c>
      <c r="M62" s="119"/>
      <c r="N62" s="119"/>
      <c r="O62" s="120"/>
      <c r="P62" s="118" t="s">
        <v>294</v>
      </c>
      <c r="Q62" s="119"/>
      <c r="R62" s="119"/>
      <c r="S62" s="120"/>
      <c r="T62" s="111" t="s">
        <v>295</v>
      </c>
      <c r="U62" s="111"/>
      <c r="V62" s="111"/>
      <c r="W62" s="111"/>
    </row>
    <row r="63" spans="2:23">
      <c r="B63" s="117"/>
      <c r="C63" s="117"/>
      <c r="D63" s="28" t="s">
        <v>255</v>
      </c>
      <c r="E63" s="27" t="s">
        <v>256</v>
      </c>
      <c r="F63" s="27" t="s">
        <v>257</v>
      </c>
      <c r="G63" s="27" t="s">
        <v>296</v>
      </c>
      <c r="H63" s="28" t="s">
        <v>255</v>
      </c>
      <c r="I63" s="27" t="s">
        <v>256</v>
      </c>
      <c r="J63" s="27" t="s">
        <v>257</v>
      </c>
      <c r="K63" s="27" t="s">
        <v>296</v>
      </c>
      <c r="L63" s="28" t="s">
        <v>255</v>
      </c>
      <c r="M63" s="27" t="s">
        <v>256</v>
      </c>
      <c r="N63" s="27" t="s">
        <v>257</v>
      </c>
      <c r="O63" s="31" t="s">
        <v>296</v>
      </c>
      <c r="P63" s="28" t="s">
        <v>255</v>
      </c>
      <c r="Q63" s="27" t="s">
        <v>256</v>
      </c>
      <c r="R63" s="27" t="s">
        <v>257</v>
      </c>
      <c r="S63" s="31" t="s">
        <v>296</v>
      </c>
      <c r="T63" s="28" t="s">
        <v>255</v>
      </c>
      <c r="U63" s="27" t="s">
        <v>256</v>
      </c>
      <c r="V63" s="27" t="s">
        <v>257</v>
      </c>
      <c r="W63" s="31" t="s">
        <v>296</v>
      </c>
    </row>
    <row r="64" spans="2:23">
      <c r="B64" s="25" t="str">
        <f>LCK!A3</f>
        <v>Jin Air Green Wings</v>
      </c>
      <c r="C64" s="25" t="str">
        <f>LCK!B3</f>
        <v>JAG</v>
      </c>
      <c r="D64" s="25" t="str">
        <f>LCK!C3</f>
        <v>SoHwan</v>
      </c>
      <c r="E64" s="26">
        <f>LCK!D3</f>
        <v>1515</v>
      </c>
      <c r="F64" s="26">
        <f>LCK!E3</f>
        <v>1505</v>
      </c>
      <c r="G64" s="26" t="e">
        <f>RANK(E64:E64,E$64:E$73)</f>
        <v>#REF!</v>
      </c>
      <c r="H64" s="25">
        <f>LCK!F3</f>
        <v>29</v>
      </c>
      <c r="I64" s="26">
        <f>LCK!G3</f>
        <v>29</v>
      </c>
      <c r="J64" s="26" t="str">
        <f>LCK!H3</f>
        <v>UmTi</v>
      </c>
      <c r="K64" s="26" t="e">
        <f>RANK(I64:I64,I$64:I$73)</f>
        <v>#REF!</v>
      </c>
      <c r="L64" s="25">
        <f>LCK!I3</f>
        <v>1514</v>
      </c>
      <c r="M64" s="26">
        <f>LCK!J3</f>
        <v>1531</v>
      </c>
      <c r="N64" s="26">
        <f>LCK!K3</f>
        <v>47</v>
      </c>
      <c r="O64" s="26" t="e">
        <f>RANK(M64:M64,M$64:M$73)</f>
        <v>#REF!</v>
      </c>
      <c r="P64" s="25">
        <f>LCK!L3</f>
        <v>52</v>
      </c>
      <c r="Q64" s="26" t="str">
        <f>LCK!M3</f>
        <v>Grace</v>
      </c>
      <c r="R64" s="26">
        <f>LCK!N3</f>
        <v>1435</v>
      </c>
      <c r="S64" s="26" t="e">
        <f>RANK(Q64:Q64,Q$64:Q$73)</f>
        <v>#VALUE!</v>
      </c>
      <c r="T64" s="25">
        <f>LCK!O3</f>
        <v>1478</v>
      </c>
      <c r="U64" s="26">
        <f>LCK!P3</f>
        <v>6</v>
      </c>
      <c r="V64" s="26">
        <f>LCK!Q3</f>
        <v>3</v>
      </c>
      <c r="W64" s="26" t="e">
        <f>RANK(U64:U64,U$64:U$73)</f>
        <v>#REF!</v>
      </c>
    </row>
    <row r="65" spans="2:23">
      <c r="B65" s="25" t="str">
        <f>LCK!A4</f>
        <v>bbq Olivers</v>
      </c>
      <c r="C65" s="25" t="str">
        <f>LCK!B4</f>
        <v>bbq</v>
      </c>
      <c r="D65" s="25" t="str">
        <f>LCK!C4</f>
        <v>Crazy</v>
      </c>
      <c r="E65" s="26">
        <f>LCK!D4</f>
        <v>1537</v>
      </c>
      <c r="F65" s="26">
        <f>LCK!E4</f>
        <v>1353</v>
      </c>
      <c r="G65" s="26" t="e">
        <f t="shared" ref="G65:G73" si="38">RANK(E65:E65,E$64:E$73)</f>
        <v>#REF!</v>
      </c>
      <c r="H65" s="25">
        <f>LCK!F4</f>
        <v>89</v>
      </c>
      <c r="I65" s="26">
        <f>LCK!G4</f>
        <v>92</v>
      </c>
      <c r="J65" s="26" t="str">
        <f>LCK!H4</f>
        <v>Trick</v>
      </c>
      <c r="K65" s="26" t="e">
        <f t="shared" ref="K65:K73" si="39">RANK(I65:I65,I$64:I$73)</f>
        <v>#REF!</v>
      </c>
      <c r="L65" s="25">
        <f>LCK!I4</f>
        <v>1621</v>
      </c>
      <c r="M65" s="26">
        <f>LCK!J4</f>
        <v>1578</v>
      </c>
      <c r="N65" s="26">
        <f>LCK!K4</f>
        <v>116</v>
      </c>
      <c r="O65" s="26" t="e">
        <f t="shared" ref="O65:O73" si="40">RANK(M65:M65,M$64:M$73)</f>
        <v>#REF!</v>
      </c>
      <c r="P65" s="25">
        <f>LCK!L4</f>
        <v>108</v>
      </c>
      <c r="Q65" s="26" t="str">
        <f>LCK!M4</f>
        <v>Tempt</v>
      </c>
      <c r="R65" s="26">
        <f>LCK!N4</f>
        <v>1535</v>
      </c>
      <c r="S65" s="26" t="e">
        <f t="shared" ref="S65:S73" si="41">RANK(Q65:Q65,Q$64:Q$73)</f>
        <v>#VALUE!</v>
      </c>
      <c r="T65" s="25">
        <f>LCK!O4</f>
        <v>1347</v>
      </c>
      <c r="U65" s="26">
        <f>LCK!P4</f>
        <v>86</v>
      </c>
      <c r="V65" s="26">
        <f>LCK!Q4</f>
        <v>92</v>
      </c>
      <c r="W65" s="26" t="e">
        <f t="shared" ref="W65:W73" si="42">RANK(U65:U65,U$64:U$73)</f>
        <v>#REF!</v>
      </c>
    </row>
    <row r="66" spans="2:23">
      <c r="B66" s="25" t="str">
        <f>LCK!A5</f>
        <v>KT Rolster</v>
      </c>
      <c r="C66" s="25" t="str">
        <f>LCK!B5</f>
        <v>KT</v>
      </c>
      <c r="D66" s="25" t="str">
        <f>LCK!C5</f>
        <v>Smeb</v>
      </c>
      <c r="E66" s="26">
        <f>LCK!D5</f>
        <v>1710</v>
      </c>
      <c r="F66" s="26">
        <f>LCK!E5</f>
        <v>1616</v>
      </c>
      <c r="G66" s="26" t="e">
        <f t="shared" si="38"/>
        <v>#REF!</v>
      </c>
      <c r="H66" s="25">
        <f>LCK!F5</f>
        <v>183</v>
      </c>
      <c r="I66" s="26">
        <f>LCK!G5</f>
        <v>165</v>
      </c>
      <c r="J66" s="26" t="str">
        <f>LCK!H5</f>
        <v>Score</v>
      </c>
      <c r="K66" s="26" t="e">
        <f t="shared" si="39"/>
        <v>#REF!</v>
      </c>
      <c r="L66" s="25">
        <f>LCK!I5</f>
        <v>1700</v>
      </c>
      <c r="M66" s="26">
        <f>LCK!J5</f>
        <v>1599</v>
      </c>
      <c r="N66" s="26">
        <f>LCK!K5</f>
        <v>184</v>
      </c>
      <c r="O66" s="26" t="e">
        <f t="shared" si="40"/>
        <v>#REF!</v>
      </c>
      <c r="P66" s="25">
        <f>LCK!L5</f>
        <v>162</v>
      </c>
      <c r="Q66" s="26" t="str">
        <f>LCK!M5</f>
        <v>PawN</v>
      </c>
      <c r="R66" s="26">
        <f>LCK!N5</f>
        <v>1716</v>
      </c>
      <c r="S66" s="26" t="e">
        <f t="shared" si="41"/>
        <v>#VALUE!</v>
      </c>
      <c r="T66" s="25">
        <f>LCK!O5</f>
        <v>1606</v>
      </c>
      <c r="U66" s="26">
        <f>LCK!P5</f>
        <v>149</v>
      </c>
      <c r="V66" s="26">
        <f>LCK!Q5</f>
        <v>145</v>
      </c>
      <c r="W66" s="26" t="e">
        <f>RANK(U66:U66,U$64:U$73)</f>
        <v>#REF!</v>
      </c>
    </row>
    <row r="67" spans="2:23">
      <c r="B67" s="25" t="str">
        <f>LCK!A6</f>
        <v>ROX Tigers</v>
      </c>
      <c r="C67" s="25" t="str">
        <f>LCK!B6</f>
        <v>ROX</v>
      </c>
      <c r="D67" s="25" t="str">
        <f>LCK!C6</f>
        <v>Lindarang</v>
      </c>
      <c r="E67" s="26">
        <f>LCK!D6</f>
        <v>1482</v>
      </c>
      <c r="F67" s="26">
        <f>LCK!E6</f>
        <v>1432</v>
      </c>
      <c r="G67" s="26" t="e">
        <f t="shared" si="38"/>
        <v>#REF!</v>
      </c>
      <c r="H67" s="25">
        <f>LCK!F6</f>
        <v>46</v>
      </c>
      <c r="I67" s="26">
        <f>LCK!G6</f>
        <v>43</v>
      </c>
      <c r="J67" s="26" t="str">
        <f>LCK!H6</f>
        <v>Seonghwan</v>
      </c>
      <c r="K67" s="26" t="e">
        <f t="shared" si="39"/>
        <v>#REF!</v>
      </c>
      <c r="L67" s="25">
        <f>LCK!I6</f>
        <v>1446</v>
      </c>
      <c r="M67" s="26">
        <f>LCK!J6</f>
        <v>1450</v>
      </c>
      <c r="N67" s="26">
        <f>LCK!K6</f>
        <v>47</v>
      </c>
      <c r="O67" s="26" t="e">
        <f t="shared" si="40"/>
        <v>#REF!</v>
      </c>
      <c r="P67" s="25">
        <f>LCK!L6</f>
        <v>37</v>
      </c>
      <c r="Q67" s="26" t="str">
        <f>LCK!M6</f>
        <v>Lava</v>
      </c>
      <c r="R67" s="26">
        <f>LCK!N6</f>
        <v>1474</v>
      </c>
      <c r="S67" s="26" t="e">
        <f t="shared" si="41"/>
        <v>#VALUE!</v>
      </c>
      <c r="T67" s="25">
        <f>LCK!O6</f>
        <v>1428</v>
      </c>
      <c r="U67" s="26">
        <f>LCK!P6</f>
        <v>20</v>
      </c>
      <c r="V67" s="26">
        <f>LCK!Q6</f>
        <v>18</v>
      </c>
      <c r="W67" s="26" t="e">
        <f t="shared" si="42"/>
        <v>#REF!</v>
      </c>
    </row>
    <row r="68" spans="2:23">
      <c r="B68" s="25" t="str">
        <f>LCK!A7</f>
        <v>Afreeca Freecs</v>
      </c>
      <c r="C68" s="25" t="str">
        <f>LCK!B7</f>
        <v>AFs</v>
      </c>
      <c r="D68" s="25" t="str">
        <f>LCK!C7</f>
        <v>Kiin</v>
      </c>
      <c r="E68" s="26">
        <f>LCK!D7</f>
        <v>1482</v>
      </c>
      <c r="F68" s="26">
        <f>LCK!E7</f>
        <v>1503</v>
      </c>
      <c r="G68" s="26" t="e">
        <f t="shared" si="38"/>
        <v>#REF!</v>
      </c>
      <c r="H68" s="25">
        <f>LCK!F7</f>
        <v>22</v>
      </c>
      <c r="I68" s="26">
        <f>LCK!G7</f>
        <v>24</v>
      </c>
      <c r="J68" s="26" t="str">
        <f>LCK!H7</f>
        <v>Spirit</v>
      </c>
      <c r="K68" s="26" t="e">
        <f t="shared" si="39"/>
        <v>#REF!</v>
      </c>
      <c r="L68" s="25">
        <f>LCK!I7</f>
        <v>1598</v>
      </c>
      <c r="M68" s="26">
        <f>LCK!J7</f>
        <v>1523</v>
      </c>
      <c r="N68" s="26">
        <f>LCK!K7</f>
        <v>158</v>
      </c>
      <c r="O68" s="26" t="e">
        <f>RANK(M68:M68,M$64:M$73)</f>
        <v>#REF!</v>
      </c>
      <c r="P68" s="25">
        <f>LCK!L7</f>
        <v>148</v>
      </c>
      <c r="Q68" s="26" t="str">
        <f>LCK!M7</f>
        <v>kurO</v>
      </c>
      <c r="R68" s="26">
        <f>LCK!N7</f>
        <v>1616</v>
      </c>
      <c r="S68" s="26" t="e">
        <f t="shared" si="41"/>
        <v>#VALUE!</v>
      </c>
      <c r="T68" s="25">
        <f>LCK!O7</f>
        <v>1598</v>
      </c>
      <c r="U68" s="26">
        <f>LCK!P7</f>
        <v>169</v>
      </c>
      <c r="V68" s="26">
        <f>LCK!Q7</f>
        <v>155</v>
      </c>
      <c r="W68" s="26" t="e">
        <f t="shared" si="42"/>
        <v>#REF!</v>
      </c>
    </row>
    <row r="69" spans="2:23">
      <c r="B69" s="25" t="str">
        <f>LCK!A8</f>
        <v>MVP</v>
      </c>
      <c r="C69" s="25" t="str">
        <f>LCK!B8</f>
        <v>MVP</v>
      </c>
      <c r="D69" s="25" t="str">
        <f>LCK!C8</f>
        <v>ADD</v>
      </c>
      <c r="E69" s="26">
        <f>LCK!D8</f>
        <v>1397</v>
      </c>
      <c r="F69" s="26">
        <f>LCK!E8</f>
        <v>1469</v>
      </c>
      <c r="G69" s="26" t="e">
        <f t="shared" si="38"/>
        <v>#REF!</v>
      </c>
      <c r="H69" s="25">
        <f>LCK!F8</f>
        <v>77</v>
      </c>
      <c r="I69" s="26">
        <f>LCK!G8</f>
        <v>86</v>
      </c>
      <c r="J69" s="26" t="str">
        <f>LCK!H8</f>
        <v>Beyond</v>
      </c>
      <c r="K69" s="26" t="e">
        <f t="shared" si="39"/>
        <v>#REF!</v>
      </c>
      <c r="L69" s="25">
        <f>LCK!I8</f>
        <v>1397</v>
      </c>
      <c r="M69" s="26">
        <f>LCK!J8</f>
        <v>1469</v>
      </c>
      <c r="N69" s="26">
        <f>LCK!K8</f>
        <v>77</v>
      </c>
      <c r="O69" s="26" t="e">
        <f t="shared" si="40"/>
        <v>#REF!</v>
      </c>
      <c r="P69" s="25">
        <f>LCK!L8</f>
        <v>86</v>
      </c>
      <c r="Q69" s="26" t="str">
        <f>LCK!M8</f>
        <v>Ian</v>
      </c>
      <c r="R69" s="26">
        <f>LCK!N8</f>
        <v>1397</v>
      </c>
      <c r="S69" s="26" t="e">
        <f t="shared" si="41"/>
        <v>#VALUE!</v>
      </c>
      <c r="T69" s="25">
        <f>LCK!O8</f>
        <v>1469</v>
      </c>
      <c r="U69" s="26">
        <f>LCK!P8</f>
        <v>77</v>
      </c>
      <c r="V69" s="26">
        <f>LCK!Q8</f>
        <v>86</v>
      </c>
      <c r="W69" s="26" t="e">
        <f t="shared" si="42"/>
        <v>#REF!</v>
      </c>
    </row>
    <row r="70" spans="2:23">
      <c r="B70" s="25" t="str">
        <f>LCK!A9</f>
        <v>Kongdoo Monster</v>
      </c>
      <c r="C70" s="25" t="str">
        <f>LCK!B9</f>
        <v>KDM</v>
      </c>
      <c r="D70" s="25" t="str">
        <f>LCK!C9</f>
        <v>Roach</v>
      </c>
      <c r="E70" s="26">
        <f>LCK!D9</f>
        <v>1492</v>
      </c>
      <c r="F70" s="26">
        <f>LCK!E9</f>
        <v>1394</v>
      </c>
      <c r="G70" s="26" t="e">
        <f t="shared" si="38"/>
        <v>#REF!</v>
      </c>
      <c r="H70" s="25">
        <f>LCK!F9</f>
        <v>44</v>
      </c>
      <c r="I70" s="26">
        <f>LCK!G9</f>
        <v>49</v>
      </c>
      <c r="J70" s="26" t="str">
        <f>LCK!H9</f>
        <v>Raise</v>
      </c>
      <c r="K70" s="26" t="e">
        <f t="shared" si="39"/>
        <v>#REF!</v>
      </c>
      <c r="L70" s="25">
        <f>LCK!I9</f>
        <v>1517</v>
      </c>
      <c r="M70" s="26">
        <f>LCK!J9</f>
        <v>1415</v>
      </c>
      <c r="N70" s="26">
        <f>LCK!K9</f>
        <v>11</v>
      </c>
      <c r="O70" s="26" t="e">
        <f t="shared" si="40"/>
        <v>#REF!</v>
      </c>
      <c r="P70" s="25">
        <f>LCK!L9</f>
        <v>8</v>
      </c>
      <c r="Q70" s="26" t="str">
        <f>LCK!M9</f>
        <v>Edge</v>
      </c>
      <c r="R70" s="26">
        <f>LCK!N9</f>
        <v>1480</v>
      </c>
      <c r="S70" s="26" t="e">
        <f t="shared" si="41"/>
        <v>#VALUE!</v>
      </c>
      <c r="T70" s="25">
        <f>LCK!O9</f>
        <v>1384</v>
      </c>
      <c r="U70" s="26">
        <f>LCK!P9</f>
        <v>66</v>
      </c>
      <c r="V70" s="26">
        <f>LCK!Q9</f>
        <v>76</v>
      </c>
      <c r="W70" s="26" t="e">
        <f t="shared" si="42"/>
        <v>#REF!</v>
      </c>
    </row>
    <row r="71" spans="2:23">
      <c r="B71" s="25" t="str">
        <f>LCK!A10</f>
        <v>SK Telecom T1</v>
      </c>
      <c r="C71" s="25" t="str">
        <f>LCK!B10</f>
        <v>SKT</v>
      </c>
      <c r="D71" s="25" t="str">
        <f>LCK!C10</f>
        <v>Thal</v>
      </c>
      <c r="E71" s="26">
        <f>LCK!D10</f>
        <v>1500</v>
      </c>
      <c r="F71" s="26">
        <f>LCK!E10</f>
        <v>1357</v>
      </c>
      <c r="G71" s="26" t="e">
        <f t="shared" si="38"/>
        <v>#REF!</v>
      </c>
      <c r="H71" s="25">
        <f>LCK!F10</f>
        <v>10</v>
      </c>
      <c r="I71" s="26">
        <f>LCK!G10</f>
        <v>12</v>
      </c>
      <c r="J71" s="26" t="str">
        <f>LCK!H10</f>
        <v>blank</v>
      </c>
      <c r="K71" s="26" t="e">
        <f t="shared" si="39"/>
        <v>#REF!</v>
      </c>
      <c r="L71" s="25">
        <f>LCK!I10</f>
        <v>1691</v>
      </c>
      <c r="M71" s="26">
        <f>LCK!J10</f>
        <v>1614</v>
      </c>
      <c r="N71" s="26">
        <f>LCK!K10</f>
        <v>71</v>
      </c>
      <c r="O71" s="26" t="e">
        <f t="shared" si="40"/>
        <v>#REF!</v>
      </c>
      <c r="P71" s="25">
        <f>LCK!L10</f>
        <v>92</v>
      </c>
      <c r="Q71" s="26" t="str">
        <f>LCK!M10</f>
        <v>Faker</v>
      </c>
      <c r="R71" s="26">
        <f>LCK!N10</f>
        <v>1696</v>
      </c>
      <c r="S71" s="26" t="e">
        <f t="shared" si="41"/>
        <v>#VALUE!</v>
      </c>
      <c r="T71" s="25">
        <f>LCK!O10</f>
        <v>1617</v>
      </c>
      <c r="U71" s="26">
        <f>LCK!P10</f>
        <v>197</v>
      </c>
      <c r="V71" s="26">
        <f>LCK!Q10</f>
        <v>208</v>
      </c>
      <c r="W71" s="26" t="e">
        <f t="shared" si="42"/>
        <v>#REF!</v>
      </c>
    </row>
    <row r="72" spans="2:23">
      <c r="B72" s="25" t="e">
        <f>LCK!#REF!</f>
        <v>#REF!</v>
      </c>
      <c r="C72" s="25" t="e">
        <f>LCK!#REF!</f>
        <v>#REF!</v>
      </c>
      <c r="D72" s="25" t="e">
        <f>LCK!#REF!</f>
        <v>#REF!</v>
      </c>
      <c r="E72" s="26" t="e">
        <f>LCK!#REF!</f>
        <v>#REF!</v>
      </c>
      <c r="F72" s="26" t="e">
        <f>LCK!#REF!</f>
        <v>#REF!</v>
      </c>
      <c r="G72" s="26" t="e">
        <f t="shared" si="38"/>
        <v>#REF!</v>
      </c>
      <c r="H72" s="25" t="e">
        <f>LCK!#REF!</f>
        <v>#REF!</v>
      </c>
      <c r="I72" s="26" t="e">
        <f>LCK!#REF!</f>
        <v>#REF!</v>
      </c>
      <c r="J72" s="26" t="e">
        <f>LCK!#REF!</f>
        <v>#REF!</v>
      </c>
      <c r="K72" s="26" t="e">
        <f t="shared" si="39"/>
        <v>#REF!</v>
      </c>
      <c r="L72" s="25" t="e">
        <f>LCK!#REF!</f>
        <v>#REF!</v>
      </c>
      <c r="M72" s="26" t="e">
        <f>LCK!#REF!</f>
        <v>#REF!</v>
      </c>
      <c r="N72" s="26" t="e">
        <f>LCK!#REF!</f>
        <v>#REF!</v>
      </c>
      <c r="O72" s="26" t="e">
        <f t="shared" si="40"/>
        <v>#REF!</v>
      </c>
      <c r="P72" s="25" t="e">
        <f>LCK!#REF!</f>
        <v>#REF!</v>
      </c>
      <c r="Q72" s="26" t="e">
        <f>LCK!#REF!</f>
        <v>#REF!</v>
      </c>
      <c r="R72" s="26" t="e">
        <f>LCK!#REF!</f>
        <v>#REF!</v>
      </c>
      <c r="S72" s="26" t="e">
        <f t="shared" si="41"/>
        <v>#REF!</v>
      </c>
      <c r="T72" s="25" t="e">
        <f>LCK!#REF!</f>
        <v>#REF!</v>
      </c>
      <c r="U72" s="26" t="e">
        <f>LCK!#REF!</f>
        <v>#REF!</v>
      </c>
      <c r="V72" s="26" t="e">
        <f>LCK!#REF!</f>
        <v>#REF!</v>
      </c>
      <c r="W72" s="26" t="e">
        <f t="shared" si="42"/>
        <v>#REF!</v>
      </c>
    </row>
    <row r="73" spans="2:23">
      <c r="B73" s="25" t="str">
        <f>LCK!A11</f>
        <v>KSV Esports</v>
      </c>
      <c r="C73" s="25" t="str">
        <f>LCK!B11</f>
        <v>KSV</v>
      </c>
      <c r="D73" s="25" t="str">
        <f>LCK!C11</f>
        <v>CuVee</v>
      </c>
      <c r="E73" s="26">
        <f>LCK!D11</f>
        <v>1706</v>
      </c>
      <c r="F73" s="26">
        <f>LCK!E11</f>
        <v>1654</v>
      </c>
      <c r="G73" s="26" t="e">
        <f t="shared" si="38"/>
        <v>#REF!</v>
      </c>
      <c r="H73" s="25">
        <f>LCK!F11</f>
        <v>173</v>
      </c>
      <c r="I73" s="26">
        <f>LCK!G11</f>
        <v>160</v>
      </c>
      <c r="J73" s="26" t="str">
        <f>LCK!H11</f>
        <v>Ambition</v>
      </c>
      <c r="K73" s="26" t="e">
        <f t="shared" si="39"/>
        <v>#REF!</v>
      </c>
      <c r="L73" s="25">
        <f>LCK!I11</f>
        <v>1722</v>
      </c>
      <c r="M73" s="26">
        <f>LCK!J11</f>
        <v>1661</v>
      </c>
      <c r="N73" s="26">
        <f>LCK!K11</f>
        <v>157</v>
      </c>
      <c r="O73" s="26" t="e">
        <f t="shared" si="40"/>
        <v>#REF!</v>
      </c>
      <c r="P73" s="25">
        <f>LCK!L11</f>
        <v>146</v>
      </c>
      <c r="Q73" s="26" t="str">
        <f>LCK!M11</f>
        <v>Crown</v>
      </c>
      <c r="R73" s="26">
        <f>LCK!N11</f>
        <v>1732</v>
      </c>
      <c r="S73" s="26" t="e">
        <f t="shared" si="41"/>
        <v>#VALUE!</v>
      </c>
      <c r="T73" s="25">
        <f>LCK!O11</f>
        <v>1655</v>
      </c>
      <c r="U73" s="26">
        <f>LCK!P11</f>
        <v>154</v>
      </c>
      <c r="V73" s="26">
        <f>LCK!Q11</f>
        <v>143</v>
      </c>
      <c r="W73" s="26" t="e">
        <f t="shared" si="42"/>
        <v>#REF!</v>
      </c>
    </row>
    <row r="74" spans="2:23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</row>
    <row r="75" spans="2:23">
      <c r="B75" s="111" t="s">
        <v>297</v>
      </c>
      <c r="C75" s="111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P75" s="112" t="s">
        <v>310</v>
      </c>
      <c r="Q75" s="113"/>
      <c r="R75" s="113"/>
      <c r="S75" s="114"/>
      <c r="T75" s="23"/>
      <c r="U75" s="23"/>
      <c r="V75" s="23"/>
    </row>
    <row r="76" spans="2:23">
      <c r="B76" s="27" t="s">
        <v>255</v>
      </c>
      <c r="C76" s="27" t="s">
        <v>256</v>
      </c>
      <c r="D76" s="33" t="s">
        <v>298</v>
      </c>
      <c r="E76" s="47" t="s">
        <v>296</v>
      </c>
      <c r="F76" s="23"/>
      <c r="G76" s="23"/>
      <c r="H76" s="23"/>
      <c r="I76" s="23"/>
      <c r="J76" s="23"/>
      <c r="K76" s="23"/>
      <c r="L76" s="23"/>
      <c r="M76" s="23"/>
      <c r="N76" s="23"/>
      <c r="P76" s="112" t="s">
        <v>311</v>
      </c>
      <c r="Q76" s="114"/>
      <c r="R76" s="35" t="s">
        <v>256</v>
      </c>
      <c r="S76" s="35" t="s">
        <v>296</v>
      </c>
      <c r="T76" s="23"/>
      <c r="U76" s="23"/>
      <c r="V76" s="23"/>
    </row>
    <row r="77" spans="2:23">
      <c r="B77" s="25" t="str">
        <f t="shared" ref="B77:B86" si="43">B64</f>
        <v>Jin Air Green Wings</v>
      </c>
      <c r="C77" s="32">
        <f>LCK!AC3</f>
        <v>0</v>
      </c>
      <c r="D77" s="34" t="e">
        <f>C77/LCK!$AF$3</f>
        <v>#DIV/0!</v>
      </c>
      <c r="E77" s="26">
        <f>RANK(C77,$C$77:$C$86)</f>
        <v>1</v>
      </c>
      <c r="F77" s="23"/>
      <c r="G77" s="23"/>
      <c r="H77" s="23"/>
      <c r="I77" s="23"/>
      <c r="J77" s="23"/>
      <c r="K77" s="23"/>
      <c r="L77" s="23"/>
      <c r="M77" s="23"/>
      <c r="N77" s="23"/>
      <c r="P77" s="110" t="str">
        <f t="shared" ref="P77:P86" si="44">B77</f>
        <v>Jin Air Green Wings</v>
      </c>
      <c r="Q77" s="110"/>
      <c r="R77" s="25" t="e">
        <f t="shared" ref="R77:R86" si="45">(Q64+U64)/2</f>
        <v>#VALUE!</v>
      </c>
      <c r="S77" s="26" t="e">
        <f>RANK(R77,$R$77:$R$86)</f>
        <v>#VALUE!</v>
      </c>
      <c r="T77" s="23"/>
      <c r="U77" s="23"/>
      <c r="V77" s="23"/>
    </row>
    <row r="78" spans="2:23">
      <c r="B78" s="25" t="str">
        <f t="shared" si="43"/>
        <v>bbq Olivers</v>
      </c>
      <c r="C78" s="32">
        <f>LCK!AC4</f>
        <v>0</v>
      </c>
      <c r="D78" s="34" t="e">
        <f>C78/LCK!$AF$3</f>
        <v>#DIV/0!</v>
      </c>
      <c r="E78" s="26">
        <f t="shared" ref="E78:E86" si="46">RANK(C78,$C$77:$C$86)</f>
        <v>1</v>
      </c>
      <c r="F78" s="23"/>
      <c r="G78" s="23"/>
      <c r="H78" s="23"/>
      <c r="I78" s="23"/>
      <c r="J78" s="23"/>
      <c r="K78" s="23"/>
      <c r="L78" s="23"/>
      <c r="M78" s="23"/>
      <c r="N78" s="23"/>
      <c r="P78" s="110" t="str">
        <f t="shared" si="44"/>
        <v>bbq Olivers</v>
      </c>
      <c r="Q78" s="110"/>
      <c r="R78" s="25" t="e">
        <f t="shared" si="45"/>
        <v>#VALUE!</v>
      </c>
      <c r="S78" s="26" t="e">
        <f t="shared" ref="S78:S86" si="47">RANK(R78,$R$77:$R$86)</f>
        <v>#VALUE!</v>
      </c>
      <c r="T78" s="23"/>
      <c r="U78" s="23"/>
    </row>
    <row r="79" spans="2:23">
      <c r="B79" s="25" t="str">
        <f t="shared" si="43"/>
        <v>KT Rolster</v>
      </c>
      <c r="C79" s="32">
        <f>LCK!AC5</f>
        <v>0</v>
      </c>
      <c r="D79" s="34" t="e">
        <f>C79/LCK!$AF$3</f>
        <v>#DIV/0!</v>
      </c>
      <c r="E79" s="26">
        <f t="shared" si="46"/>
        <v>1</v>
      </c>
      <c r="F79" s="23"/>
      <c r="G79" s="23"/>
      <c r="H79" s="23"/>
      <c r="I79" s="23"/>
      <c r="J79" s="23"/>
      <c r="K79" s="23"/>
      <c r="L79" s="23"/>
      <c r="M79" s="23"/>
      <c r="N79" s="23"/>
      <c r="P79" s="110" t="str">
        <f t="shared" si="44"/>
        <v>KT Rolster</v>
      </c>
      <c r="Q79" s="110"/>
      <c r="R79" s="25" t="e">
        <f t="shared" si="45"/>
        <v>#VALUE!</v>
      </c>
      <c r="S79" s="26" t="e">
        <f t="shared" si="47"/>
        <v>#VALUE!</v>
      </c>
      <c r="T79" s="23"/>
      <c r="U79" s="23"/>
    </row>
    <row r="80" spans="2:23">
      <c r="B80" s="25" t="str">
        <f t="shared" si="43"/>
        <v>ROX Tigers</v>
      </c>
      <c r="C80" s="32">
        <f>LCK!AC6</f>
        <v>0</v>
      </c>
      <c r="D80" s="34" t="e">
        <f>C80/LCK!$AF$3</f>
        <v>#DIV/0!</v>
      </c>
      <c r="E80" s="26">
        <f t="shared" si="46"/>
        <v>1</v>
      </c>
      <c r="F80" s="23"/>
      <c r="G80" s="23"/>
      <c r="H80" s="23"/>
      <c r="I80" s="23"/>
      <c r="J80" s="23"/>
      <c r="K80" s="23"/>
      <c r="L80" s="23"/>
      <c r="M80" s="23"/>
      <c r="N80" s="23"/>
      <c r="P80" s="110" t="str">
        <f t="shared" si="44"/>
        <v>ROX Tigers</v>
      </c>
      <c r="Q80" s="110"/>
      <c r="R80" s="25" t="e">
        <f t="shared" si="45"/>
        <v>#VALUE!</v>
      </c>
      <c r="S80" s="26" t="e">
        <f t="shared" si="47"/>
        <v>#VALUE!</v>
      </c>
      <c r="T80" s="23"/>
      <c r="U80" s="23"/>
    </row>
    <row r="81" spans="2:23">
      <c r="B81" s="25" t="str">
        <f t="shared" si="43"/>
        <v>Afreeca Freecs</v>
      </c>
      <c r="C81" s="32">
        <f>LCK!AC7</f>
        <v>0</v>
      </c>
      <c r="D81" s="34" t="e">
        <f>C81/LCK!$AF$3</f>
        <v>#DIV/0!</v>
      </c>
      <c r="E81" s="26">
        <f t="shared" si="46"/>
        <v>1</v>
      </c>
      <c r="F81" s="23"/>
      <c r="G81" s="23"/>
      <c r="H81" s="23"/>
      <c r="I81" s="23"/>
      <c r="J81" s="23"/>
      <c r="K81" s="23"/>
      <c r="L81" s="23"/>
      <c r="M81" s="23"/>
      <c r="N81" s="23"/>
      <c r="P81" s="110" t="str">
        <f t="shared" si="44"/>
        <v>Afreeca Freecs</v>
      </c>
      <c r="Q81" s="110"/>
      <c r="R81" s="25" t="e">
        <f t="shared" si="45"/>
        <v>#VALUE!</v>
      </c>
      <c r="S81" s="26" t="e">
        <f t="shared" si="47"/>
        <v>#VALUE!</v>
      </c>
      <c r="T81" s="23"/>
      <c r="U81" s="23"/>
    </row>
    <row r="82" spans="2:23">
      <c r="B82" s="25" t="str">
        <f t="shared" si="43"/>
        <v>MVP</v>
      </c>
      <c r="C82" s="32">
        <f>LCK!AC8</f>
        <v>0</v>
      </c>
      <c r="D82" s="34" t="e">
        <f>C82/LCK!$AF$3</f>
        <v>#DIV/0!</v>
      </c>
      <c r="E82" s="26">
        <f t="shared" si="46"/>
        <v>1</v>
      </c>
      <c r="F82" s="23"/>
      <c r="G82" s="23"/>
      <c r="H82" s="23"/>
      <c r="I82" s="23"/>
      <c r="N82" s="23"/>
      <c r="P82" s="110" t="str">
        <f t="shared" si="44"/>
        <v>MVP</v>
      </c>
      <c r="Q82" s="110"/>
      <c r="R82" s="25" t="e">
        <f t="shared" si="45"/>
        <v>#VALUE!</v>
      </c>
      <c r="S82" s="26" t="e">
        <f t="shared" si="47"/>
        <v>#VALUE!</v>
      </c>
      <c r="T82" s="23"/>
      <c r="U82" s="23"/>
    </row>
    <row r="83" spans="2:23">
      <c r="B83" s="25" t="str">
        <f t="shared" si="43"/>
        <v>Kongdoo Monster</v>
      </c>
      <c r="C83" s="32">
        <f>LCK!AC9</f>
        <v>0</v>
      </c>
      <c r="D83" s="34" t="e">
        <f>C83/LCK!$AF$3</f>
        <v>#DIV/0!</v>
      </c>
      <c r="E83" s="26">
        <f t="shared" si="46"/>
        <v>1</v>
      </c>
      <c r="F83" s="23"/>
      <c r="G83" s="23"/>
      <c r="H83" s="23"/>
      <c r="I83" s="23"/>
      <c r="N83" s="23"/>
      <c r="P83" s="110" t="str">
        <f t="shared" si="44"/>
        <v>Kongdoo Monster</v>
      </c>
      <c r="Q83" s="110"/>
      <c r="R83" s="25" t="e">
        <f t="shared" si="45"/>
        <v>#VALUE!</v>
      </c>
      <c r="S83" s="26" t="e">
        <f t="shared" si="47"/>
        <v>#VALUE!</v>
      </c>
      <c r="T83" s="23"/>
      <c r="U83" s="23"/>
    </row>
    <row r="84" spans="2:23">
      <c r="B84" s="25" t="str">
        <f t="shared" si="43"/>
        <v>SK Telecom T1</v>
      </c>
      <c r="C84" s="32">
        <f>LCK!AC10</f>
        <v>0</v>
      </c>
      <c r="D84" s="34" t="e">
        <f>C84/LCK!$AF$3</f>
        <v>#DIV/0!</v>
      </c>
      <c r="E84" s="26">
        <f t="shared" si="46"/>
        <v>1</v>
      </c>
      <c r="F84" s="23"/>
      <c r="G84" s="23"/>
      <c r="H84" s="23"/>
      <c r="I84" s="23"/>
      <c r="N84" s="23"/>
      <c r="P84" s="110" t="str">
        <f t="shared" si="44"/>
        <v>SK Telecom T1</v>
      </c>
      <c r="Q84" s="110"/>
      <c r="R84" s="25" t="e">
        <f t="shared" si="45"/>
        <v>#VALUE!</v>
      </c>
      <c r="S84" s="26" t="e">
        <f t="shared" si="47"/>
        <v>#VALUE!</v>
      </c>
      <c r="T84" s="23"/>
      <c r="U84" s="23"/>
    </row>
    <row r="85" spans="2:23">
      <c r="B85" s="25" t="e">
        <f t="shared" si="43"/>
        <v>#REF!</v>
      </c>
      <c r="C85" s="32">
        <f>LCK!AC11</f>
        <v>0</v>
      </c>
      <c r="D85" s="34" t="e">
        <f>C85/LCK!$AF$3</f>
        <v>#DIV/0!</v>
      </c>
      <c r="E85" s="26">
        <f t="shared" si="46"/>
        <v>1</v>
      </c>
      <c r="F85" s="23"/>
      <c r="G85" s="23"/>
      <c r="H85" s="23"/>
      <c r="I85" s="23"/>
      <c r="N85" s="23"/>
      <c r="P85" s="110" t="e">
        <f t="shared" si="44"/>
        <v>#REF!</v>
      </c>
      <c r="Q85" s="110"/>
      <c r="R85" s="25" t="e">
        <f t="shared" si="45"/>
        <v>#REF!</v>
      </c>
      <c r="S85" s="26" t="e">
        <f t="shared" si="47"/>
        <v>#REF!</v>
      </c>
      <c r="T85" s="23"/>
      <c r="U85" s="23"/>
    </row>
    <row r="86" spans="2:23">
      <c r="B86" s="25" t="str">
        <f t="shared" si="43"/>
        <v>KSV Esports</v>
      </c>
      <c r="C86" s="32">
        <f>LCK!AC12</f>
        <v>0</v>
      </c>
      <c r="D86" s="34" t="e">
        <f>C86/LCK!$AF$3</f>
        <v>#DIV/0!</v>
      </c>
      <c r="E86" s="26">
        <f t="shared" si="46"/>
        <v>1</v>
      </c>
      <c r="F86" s="23"/>
      <c r="G86" s="23"/>
      <c r="H86" s="23"/>
      <c r="I86" s="23"/>
      <c r="N86" s="23"/>
      <c r="P86" s="110" t="str">
        <f t="shared" si="44"/>
        <v>KSV Esports</v>
      </c>
      <c r="Q86" s="110"/>
      <c r="R86" s="25" t="e">
        <f t="shared" si="45"/>
        <v>#VALUE!</v>
      </c>
      <c r="S86" s="26" t="e">
        <f t="shared" si="47"/>
        <v>#VALUE!</v>
      </c>
      <c r="T86" s="23"/>
      <c r="U86" s="23"/>
    </row>
    <row r="89" spans="2:23" ht="18.75">
      <c r="B89" s="115" t="s">
        <v>281</v>
      </c>
      <c r="C89" s="115"/>
      <c r="D89" s="115"/>
      <c r="E89" s="115"/>
      <c r="F89" s="115"/>
      <c r="G89" s="115"/>
      <c r="H89" s="115"/>
      <c r="I89" s="115"/>
      <c r="J89" s="115"/>
      <c r="K89" s="115"/>
      <c r="L89" s="115"/>
      <c r="M89" s="115"/>
      <c r="N89" s="115"/>
      <c r="O89" s="115"/>
      <c r="P89" s="115"/>
      <c r="Q89" s="115"/>
      <c r="R89" s="115"/>
      <c r="S89" s="115"/>
      <c r="T89" s="115"/>
      <c r="U89" s="115"/>
      <c r="V89" s="115"/>
      <c r="W89" s="115"/>
    </row>
    <row r="90" spans="2:23">
      <c r="B90" s="116" t="s">
        <v>290</v>
      </c>
      <c r="C90" s="116" t="s">
        <v>318</v>
      </c>
      <c r="D90" s="118" t="s">
        <v>292</v>
      </c>
      <c r="E90" s="119"/>
      <c r="F90" s="119"/>
      <c r="G90" s="120"/>
      <c r="H90" s="118" t="s">
        <v>291</v>
      </c>
      <c r="I90" s="119"/>
      <c r="J90" s="119"/>
      <c r="K90" s="120"/>
      <c r="L90" s="118" t="s">
        <v>293</v>
      </c>
      <c r="M90" s="119"/>
      <c r="N90" s="119"/>
      <c r="O90" s="120"/>
      <c r="P90" s="118" t="s">
        <v>294</v>
      </c>
      <c r="Q90" s="119"/>
      <c r="R90" s="119"/>
      <c r="S90" s="120"/>
      <c r="T90" s="111" t="s">
        <v>295</v>
      </c>
      <c r="U90" s="111"/>
      <c r="V90" s="111"/>
      <c r="W90" s="111"/>
    </row>
    <row r="91" spans="2:23">
      <c r="B91" s="117"/>
      <c r="C91" s="117"/>
      <c r="D91" s="28" t="s">
        <v>255</v>
      </c>
      <c r="E91" s="27" t="s">
        <v>256</v>
      </c>
      <c r="F91" s="27" t="s">
        <v>257</v>
      </c>
      <c r="G91" s="27" t="s">
        <v>296</v>
      </c>
      <c r="H91" s="28" t="s">
        <v>255</v>
      </c>
      <c r="I91" s="27" t="s">
        <v>256</v>
      </c>
      <c r="J91" s="27" t="s">
        <v>257</v>
      </c>
      <c r="K91" s="27" t="s">
        <v>296</v>
      </c>
      <c r="L91" s="28" t="s">
        <v>255</v>
      </c>
      <c r="M91" s="27" t="s">
        <v>256</v>
      </c>
      <c r="N91" s="27" t="s">
        <v>257</v>
      </c>
      <c r="O91" s="31" t="s">
        <v>296</v>
      </c>
      <c r="P91" s="28" t="s">
        <v>255</v>
      </c>
      <c r="Q91" s="27" t="s">
        <v>256</v>
      </c>
      <c r="R91" s="27" t="s">
        <v>257</v>
      </c>
      <c r="S91" s="31" t="s">
        <v>296</v>
      </c>
      <c r="T91" s="28" t="s">
        <v>255</v>
      </c>
      <c r="U91" s="27" t="s">
        <v>256</v>
      </c>
      <c r="V91" s="27" t="s">
        <v>257</v>
      </c>
      <c r="W91" s="31" t="s">
        <v>296</v>
      </c>
    </row>
    <row r="92" spans="2:23">
      <c r="B92" s="25" t="str">
        <f>LPL!A3</f>
        <v>Royal Never Give Up</v>
      </c>
      <c r="C92" s="25" t="str">
        <f>LPL!B3</f>
        <v>RNG</v>
      </c>
      <c r="D92" s="44" t="str">
        <f>LPL!C3</f>
        <v>LetMe</v>
      </c>
      <c r="E92" s="26">
        <f>LPL!D3</f>
        <v>1650</v>
      </c>
      <c r="F92" s="26">
        <f>LPL!E3</f>
        <v>1617</v>
      </c>
      <c r="G92" s="26">
        <f>RANK(E92,E$92:E$105)</f>
        <v>2</v>
      </c>
      <c r="H92" s="25">
        <f>LPL!F3</f>
        <v>94</v>
      </c>
      <c r="I92" s="26">
        <f>LPL!G3</f>
        <v>98</v>
      </c>
      <c r="J92" s="26" t="str">
        <f>LPL!H3</f>
        <v>Karsa</v>
      </c>
      <c r="K92" s="26">
        <f>RANK(I92,I$92:I$105)</f>
        <v>5</v>
      </c>
      <c r="L92" s="25">
        <f>LPL!I3</f>
        <v>1651</v>
      </c>
      <c r="M92" s="26">
        <f>LPL!J3</f>
        <v>1601</v>
      </c>
      <c r="N92" s="26">
        <f>LPL!K3</f>
        <v>90</v>
      </c>
      <c r="O92" s="26">
        <f>RANK(M92,M$92:M$105)</f>
        <v>2</v>
      </c>
      <c r="P92" s="25">
        <f>LPL!L3</f>
        <v>90</v>
      </c>
      <c r="Q92" s="26" t="str">
        <f>LPL!M3</f>
        <v>xiaohu</v>
      </c>
      <c r="R92" s="26">
        <f>LPL!N3</f>
        <v>1627</v>
      </c>
      <c r="S92" s="26" t="e">
        <f>RANK(Q92,Q$92:Q$105)</f>
        <v>#VALUE!</v>
      </c>
      <c r="T92" s="25">
        <f>LPL!O3</f>
        <v>1607</v>
      </c>
      <c r="U92" s="26">
        <f>LPL!P3</f>
        <v>159</v>
      </c>
      <c r="V92" s="26">
        <f>LPL!Q3</f>
        <v>165</v>
      </c>
      <c r="W92" s="26">
        <f>RANK(U92,U$92:U$105)</f>
        <v>3</v>
      </c>
    </row>
    <row r="93" spans="2:23">
      <c r="B93" s="25" t="str">
        <f>LPL!A4</f>
        <v>Bilibili Gaming</v>
      </c>
      <c r="C93" s="25" t="str">
        <f>LPL!B4</f>
        <v>BLG</v>
      </c>
      <c r="D93" s="44" t="str">
        <f>LPL!C4</f>
        <v>AmazingJ</v>
      </c>
      <c r="E93" s="26">
        <f>LPL!D4</f>
        <v>1571</v>
      </c>
      <c r="F93" s="26">
        <f>LPL!E4</f>
        <v>1427</v>
      </c>
      <c r="G93" s="26">
        <f t="shared" ref="G93:G105" si="48">RANK(E93,E$92:E$105)</f>
        <v>6</v>
      </c>
      <c r="H93" s="25">
        <f>LPL!F4</f>
        <v>116</v>
      </c>
      <c r="I93" s="26">
        <f>LPL!G4</f>
        <v>122</v>
      </c>
      <c r="J93" s="26" t="str">
        <f>LPL!H4</f>
        <v>Sks</v>
      </c>
      <c r="K93" s="26">
        <f t="shared" ref="K93:K104" si="49">RANK(I93,I$92:I$105)</f>
        <v>3</v>
      </c>
      <c r="L93" s="25">
        <f>LPL!I4</f>
        <v>1507</v>
      </c>
      <c r="M93" s="26">
        <f>LPL!J4</f>
        <v>1437</v>
      </c>
      <c r="N93" s="26">
        <f>LPL!K4</f>
        <v>20</v>
      </c>
      <c r="O93" s="26">
        <f t="shared" ref="O93:O105" si="50">RANK(M93,M$92:M$105)</f>
        <v>10</v>
      </c>
      <c r="P93" s="25">
        <f>LPL!L4</f>
        <v>21</v>
      </c>
      <c r="Q93" s="26" t="str">
        <f>LPL!M4</f>
        <v>Athena</v>
      </c>
      <c r="R93" s="26">
        <f>LPL!N4</f>
        <v>1520</v>
      </c>
      <c r="S93" s="26" t="e">
        <f t="shared" ref="S93:S105" si="51">RANK(Q93,Q$92:Q$105)</f>
        <v>#VALUE!</v>
      </c>
      <c r="T93" s="25">
        <f>LPL!O4</f>
        <v>1407</v>
      </c>
      <c r="U93" s="26">
        <f>LPL!P4</f>
        <v>81</v>
      </c>
      <c r="V93" s="26">
        <f>LPL!Q4</f>
        <v>82</v>
      </c>
      <c r="W93" s="26">
        <f t="shared" ref="W93:W105" si="52">RANK(U93,U$92:U$105)</f>
        <v>8</v>
      </c>
    </row>
    <row r="94" spans="2:23">
      <c r="B94" s="25" t="str">
        <f>LPL!A5</f>
        <v>LGD Gaming</v>
      </c>
      <c r="C94" s="25" t="str">
        <f>LPL!B5</f>
        <v>LGD</v>
      </c>
      <c r="D94" s="44" t="str">
        <f>LPL!C5</f>
        <v>Jinoo</v>
      </c>
      <c r="E94" s="26">
        <f>LPL!D5</f>
        <v>1515</v>
      </c>
      <c r="F94" s="26">
        <f>LPL!E5</f>
        <v>1400</v>
      </c>
      <c r="G94" s="26">
        <f t="shared" si="48"/>
        <v>10</v>
      </c>
      <c r="H94" s="25">
        <f>LPL!F5</f>
        <v>32</v>
      </c>
      <c r="I94" s="26">
        <f>LPL!G5</f>
        <v>35</v>
      </c>
      <c r="J94" s="26" t="str">
        <f>LPL!H5</f>
        <v>Eimy</v>
      </c>
      <c r="K94" s="26">
        <f t="shared" si="49"/>
        <v>9</v>
      </c>
      <c r="L94" s="25">
        <f>LPL!I5</f>
        <v>1468</v>
      </c>
      <c r="M94" s="26">
        <f>LPL!J5</f>
        <v>1372</v>
      </c>
      <c r="N94" s="26">
        <f>LPL!K5</f>
        <v>90</v>
      </c>
      <c r="O94" s="26">
        <f t="shared" si="50"/>
        <v>13</v>
      </c>
      <c r="P94" s="25">
        <f>LPL!L5</f>
        <v>93</v>
      </c>
      <c r="Q94" s="26" t="str">
        <f>LPL!M5</f>
        <v>Yuuki</v>
      </c>
      <c r="R94" s="26">
        <f>LPL!N5</f>
        <v>1454</v>
      </c>
      <c r="S94" s="26" t="e">
        <f t="shared" si="51"/>
        <v>#VALUE!</v>
      </c>
      <c r="T94" s="25">
        <f>LPL!O5</f>
        <v>1442</v>
      </c>
      <c r="U94" s="26">
        <f>LPL!P5</f>
        <v>6</v>
      </c>
      <c r="V94" s="26">
        <f>LPL!Q5</f>
        <v>5</v>
      </c>
      <c r="W94" s="26">
        <f t="shared" si="52"/>
        <v>14</v>
      </c>
    </row>
    <row r="95" spans="2:23">
      <c r="B95" s="25" t="str">
        <f>LPL!A6</f>
        <v>Vici Gaming</v>
      </c>
      <c r="C95" s="25" t="str">
        <f>LPL!B6</f>
        <v>VG</v>
      </c>
      <c r="D95" s="44" t="str">
        <f>LPL!C6</f>
        <v>Meow</v>
      </c>
      <c r="E95" s="26">
        <f>LPL!D6</f>
        <v>1451</v>
      </c>
      <c r="F95" s="26">
        <f>LPL!E6</f>
        <v>1357</v>
      </c>
      <c r="G95" s="26">
        <f t="shared" si="48"/>
        <v>12</v>
      </c>
      <c r="H95" s="25">
        <f>LPL!F6</f>
        <v>4</v>
      </c>
      <c r="I95" s="26">
        <f>LPL!G6</f>
        <v>7</v>
      </c>
      <c r="J95" s="26" t="str">
        <f>LPL!H6</f>
        <v>Crash</v>
      </c>
      <c r="K95" s="26">
        <f t="shared" si="49"/>
        <v>13</v>
      </c>
      <c r="L95" s="25">
        <f>LPL!I6</f>
        <v>1442</v>
      </c>
      <c r="M95" s="26">
        <f>LPL!J6</f>
        <v>1374</v>
      </c>
      <c r="N95" s="26">
        <f>LPL!K6</f>
        <v>55</v>
      </c>
      <c r="O95" s="26">
        <f t="shared" si="50"/>
        <v>12</v>
      </c>
      <c r="P95" s="25">
        <f>LPL!L6</f>
        <v>49</v>
      </c>
      <c r="Q95" s="26" t="str">
        <f>LPL!M6</f>
        <v>Easyhoon</v>
      </c>
      <c r="R95" s="26">
        <f>LPL!N6</f>
        <v>1443</v>
      </c>
      <c r="S95" s="26" t="e">
        <f t="shared" si="51"/>
        <v>#VALUE!</v>
      </c>
      <c r="T95" s="25">
        <f>LPL!O6</f>
        <v>1367</v>
      </c>
      <c r="U95" s="26">
        <f>LPL!P6</f>
        <v>91</v>
      </c>
      <c r="V95" s="26">
        <f>LPL!Q6</f>
        <v>98</v>
      </c>
      <c r="W95" s="26">
        <f t="shared" si="52"/>
        <v>5</v>
      </c>
    </row>
    <row r="96" spans="2:23">
      <c r="B96" s="25" t="str">
        <f>LPL!A7</f>
        <v>FunPlus Phoenix</v>
      </c>
      <c r="C96" s="25" t="str">
        <f>LPL!B7</f>
        <v>FPX</v>
      </c>
      <c r="D96" s="44" t="str">
        <f>LPL!C7</f>
        <v>Gimgoon</v>
      </c>
      <c r="E96" s="26">
        <f>LPL!D7</f>
        <v>1479</v>
      </c>
      <c r="F96" s="26">
        <f>LPL!E7</f>
        <v>1308</v>
      </c>
      <c r="G96" s="26">
        <f t="shared" si="48"/>
        <v>11</v>
      </c>
      <c r="H96" s="25">
        <f>LPL!F7</f>
        <v>59</v>
      </c>
      <c r="I96" s="26">
        <f>LPL!G7</f>
        <v>73</v>
      </c>
      <c r="J96" s="26" t="str">
        <f>LPL!H7</f>
        <v>Pepper</v>
      </c>
      <c r="K96" s="26">
        <f t="shared" si="49"/>
        <v>7</v>
      </c>
      <c r="L96" s="25">
        <f>LPL!I7</f>
        <v>1538</v>
      </c>
      <c r="M96" s="26">
        <f>LPL!J7</f>
        <v>1457</v>
      </c>
      <c r="N96" s="26">
        <f>LPL!K7</f>
        <v>17</v>
      </c>
      <c r="O96" s="26">
        <f t="shared" si="50"/>
        <v>8</v>
      </c>
      <c r="P96" s="25">
        <f>LPL!L7</f>
        <v>10</v>
      </c>
      <c r="Q96" s="26" t="str">
        <f>LPL!M7</f>
        <v>Bing</v>
      </c>
      <c r="R96" s="26">
        <f>LPL!N7</f>
        <v>1494</v>
      </c>
      <c r="S96" s="26" t="e">
        <f t="shared" si="51"/>
        <v>#VALUE!</v>
      </c>
      <c r="T96" s="25">
        <f>LPL!O7</f>
        <v>1412</v>
      </c>
      <c r="U96" s="26">
        <f>LPL!P7</f>
        <v>8</v>
      </c>
      <c r="V96" s="26">
        <f>LPL!Q7</f>
        <v>7</v>
      </c>
      <c r="W96" s="26">
        <f t="shared" si="52"/>
        <v>12</v>
      </c>
    </row>
    <row r="97" spans="2:23">
      <c r="B97" s="25" t="str">
        <f>LPL!A8</f>
        <v>Snake Esports</v>
      </c>
      <c r="C97" s="25" t="str">
        <f>LPL!B8</f>
        <v>SN</v>
      </c>
      <c r="D97" s="44" t="str">
        <f>LPL!C8</f>
        <v>Flandre</v>
      </c>
      <c r="E97" s="26">
        <f>LPL!D8</f>
        <v>1542</v>
      </c>
      <c r="F97" s="26">
        <f>LPL!E8</f>
        <v>1500</v>
      </c>
      <c r="G97" s="26">
        <f t="shared" si="48"/>
        <v>9</v>
      </c>
      <c r="H97" s="25">
        <f>LPL!F8</f>
        <v>155</v>
      </c>
      <c r="I97" s="26">
        <f>LPL!G8</f>
        <v>160</v>
      </c>
      <c r="J97" s="26" t="str">
        <f>LPL!H8</f>
        <v>SofM</v>
      </c>
      <c r="K97" s="26">
        <f t="shared" si="49"/>
        <v>1</v>
      </c>
      <c r="L97" s="25">
        <f>LPL!I8</f>
        <v>1582</v>
      </c>
      <c r="M97" s="26">
        <f>LPL!J8</f>
        <v>1505</v>
      </c>
      <c r="N97" s="26">
        <f>LPL!K8</f>
        <v>77</v>
      </c>
      <c r="O97" s="26">
        <f t="shared" si="50"/>
        <v>4</v>
      </c>
      <c r="P97" s="25">
        <f>LPL!L8</f>
        <v>81</v>
      </c>
      <c r="Q97" s="26" t="str">
        <f>LPL!M8</f>
        <v>Guoguo</v>
      </c>
      <c r="R97" s="26">
        <f>LPL!N8</f>
        <v>1589</v>
      </c>
      <c r="S97" s="26" t="e">
        <f t="shared" si="51"/>
        <v>#VALUE!</v>
      </c>
      <c r="T97" s="25">
        <f>LPL!O8</f>
        <v>1522</v>
      </c>
      <c r="U97" s="26">
        <f>LPL!P8</f>
        <v>17</v>
      </c>
      <c r="V97" s="26">
        <f>LPL!Q8</f>
        <v>14</v>
      </c>
      <c r="W97" s="26">
        <f t="shared" si="52"/>
        <v>10</v>
      </c>
    </row>
    <row r="98" spans="2:23">
      <c r="B98" s="25" t="str">
        <f>LPL!A9</f>
        <v>Topsports Gaming</v>
      </c>
      <c r="C98" s="25" t="str">
        <f>LPL!B9</f>
        <v>TOP</v>
      </c>
      <c r="D98" s="44" t="str">
        <f>LPL!C9</f>
        <v>Moyu</v>
      </c>
      <c r="E98" s="26">
        <f>LPL!D9</f>
        <v>1344</v>
      </c>
      <c r="F98" s="26">
        <f>LPL!E9</f>
        <v>1415</v>
      </c>
      <c r="G98" s="26">
        <f t="shared" si="48"/>
        <v>14</v>
      </c>
      <c r="H98" s="25">
        <f>LPL!F9</f>
        <v>10</v>
      </c>
      <c r="I98" s="26">
        <f>LPL!G9</f>
        <v>5</v>
      </c>
      <c r="J98" s="26" t="str">
        <f>LPL!H9</f>
        <v>Karin</v>
      </c>
      <c r="K98" s="26">
        <f t="shared" si="49"/>
        <v>14</v>
      </c>
      <c r="L98" s="25">
        <f>LPL!I9</f>
        <v>1367</v>
      </c>
      <c r="M98" s="26">
        <f>LPL!J9</f>
        <v>1356</v>
      </c>
      <c r="N98" s="26">
        <f>LPL!K9</f>
        <v>26</v>
      </c>
      <c r="O98" s="26">
        <f t="shared" si="50"/>
        <v>14</v>
      </c>
      <c r="P98" s="25">
        <f>LPL!L9</f>
        <v>17</v>
      </c>
      <c r="Q98" s="26" t="str">
        <f>LPL!M9</f>
        <v>Ggoong</v>
      </c>
      <c r="R98" s="26">
        <f>LPL!N9</f>
        <v>1388</v>
      </c>
      <c r="S98" s="26" t="e">
        <f t="shared" si="51"/>
        <v>#VALUE!</v>
      </c>
      <c r="T98" s="25">
        <f>LPL!O9</f>
        <v>1352</v>
      </c>
      <c r="U98" s="26">
        <f>LPL!P9</f>
        <v>68</v>
      </c>
      <c r="V98" s="26">
        <f>LPL!Q9</f>
        <v>61</v>
      </c>
      <c r="W98" s="26">
        <f t="shared" si="52"/>
        <v>9</v>
      </c>
    </row>
    <row r="99" spans="2:23">
      <c r="B99" s="25" t="str">
        <f>LPL!A10</f>
        <v>EDward Gaming</v>
      </c>
      <c r="C99" s="25" t="str">
        <f>LPL!B10</f>
        <v>EDG</v>
      </c>
      <c r="D99" s="44" t="str">
        <f>LPL!C10</f>
        <v>Ray</v>
      </c>
      <c r="E99" s="26">
        <f>LPL!D10</f>
        <v>1639</v>
      </c>
      <c r="F99" s="26">
        <f>LPL!E10</f>
        <v>1592</v>
      </c>
      <c r="G99" s="26">
        <f t="shared" si="48"/>
        <v>3</v>
      </c>
      <c r="H99" s="25">
        <f>LPL!F10</f>
        <v>50</v>
      </c>
      <c r="I99" s="26">
        <f>LPL!G10</f>
        <v>51</v>
      </c>
      <c r="J99" s="26" t="str">
        <f>LPL!H10</f>
        <v>Haro</v>
      </c>
      <c r="K99" s="26">
        <f t="shared" si="49"/>
        <v>8</v>
      </c>
      <c r="L99" s="25">
        <f>LPL!I10</f>
        <v>1551</v>
      </c>
      <c r="M99" s="26">
        <f>LPL!J10</f>
        <v>1576</v>
      </c>
      <c r="N99" s="26">
        <f>LPL!K10</f>
        <v>7</v>
      </c>
      <c r="O99" s="26">
        <f t="shared" si="50"/>
        <v>3</v>
      </c>
      <c r="P99" s="25">
        <f>LPL!L10</f>
        <v>14</v>
      </c>
      <c r="Q99" s="26" t="str">
        <f>LPL!M10</f>
        <v>Scout</v>
      </c>
      <c r="R99" s="26">
        <f>LPL!N10</f>
        <v>1701</v>
      </c>
      <c r="S99" s="26" t="e">
        <f t="shared" si="51"/>
        <v>#VALUE!</v>
      </c>
      <c r="T99" s="25">
        <f>LPL!O10</f>
        <v>1664</v>
      </c>
      <c r="U99" s="26">
        <f>LPL!P10</f>
        <v>82</v>
      </c>
      <c r="V99" s="26">
        <f>LPL!Q10</f>
        <v>94</v>
      </c>
      <c r="W99" s="26">
        <f t="shared" si="52"/>
        <v>7</v>
      </c>
    </row>
    <row r="100" spans="2:23">
      <c r="B100" s="25" t="str">
        <f>LPL!A11</f>
        <v>Team WE</v>
      </c>
      <c r="C100" s="25" t="str">
        <f>LPL!B11</f>
        <v>WE</v>
      </c>
      <c r="D100" s="44">
        <f>LPL!C11</f>
        <v>957</v>
      </c>
      <c r="E100" s="26">
        <f>LPL!D11</f>
        <v>1694</v>
      </c>
      <c r="F100" s="26">
        <f>LPL!E11</f>
        <v>1560</v>
      </c>
      <c r="G100" s="26">
        <f t="shared" si="48"/>
        <v>1</v>
      </c>
      <c r="H100" s="25">
        <f>LPL!F11</f>
        <v>146</v>
      </c>
      <c r="I100" s="26">
        <f>LPL!G11</f>
        <v>134</v>
      </c>
      <c r="J100" s="26" t="str">
        <f>LPL!H11</f>
        <v>Melon</v>
      </c>
      <c r="K100" s="26">
        <f t="shared" si="49"/>
        <v>2</v>
      </c>
      <c r="L100" s="25">
        <f>LPL!I11</f>
        <v>1469</v>
      </c>
      <c r="M100" s="26">
        <f>LPL!J11</f>
        <v>1427</v>
      </c>
      <c r="N100" s="26">
        <f>LPL!K11</f>
        <v>1</v>
      </c>
      <c r="O100" s="26">
        <f t="shared" si="50"/>
        <v>11</v>
      </c>
      <c r="P100" s="25">
        <f>LPL!L11</f>
        <v>6</v>
      </c>
      <c r="Q100" s="26" t="str">
        <f>LPL!M11</f>
        <v>xiye</v>
      </c>
      <c r="R100" s="26">
        <f>LPL!N11</f>
        <v>1683</v>
      </c>
      <c r="S100" s="26" t="e">
        <f t="shared" si="51"/>
        <v>#VALUE!</v>
      </c>
      <c r="T100" s="25">
        <f>LPL!O11</f>
        <v>1563</v>
      </c>
      <c r="U100" s="26">
        <f>LPL!P11</f>
        <v>182</v>
      </c>
      <c r="V100" s="26">
        <f>LPL!Q11</f>
        <v>166</v>
      </c>
      <c r="W100" s="26">
        <f t="shared" si="52"/>
        <v>1</v>
      </c>
    </row>
    <row r="101" spans="2:23">
      <c r="B101" s="25" t="str">
        <f>LPL!A12</f>
        <v>JD Gaming</v>
      </c>
      <c r="C101" s="25" t="str">
        <f>LPL!B12</f>
        <v>JDG</v>
      </c>
      <c r="D101" s="44" t="str">
        <f>LPL!C12</f>
        <v>Zoom</v>
      </c>
      <c r="E101" s="26">
        <f>LPL!D12</f>
        <v>1576</v>
      </c>
      <c r="F101" s="26">
        <f>LPL!E12</f>
        <v>1474</v>
      </c>
      <c r="G101" s="26">
        <f t="shared" si="48"/>
        <v>5</v>
      </c>
      <c r="H101" s="25">
        <f>LPL!F12</f>
        <v>14</v>
      </c>
      <c r="I101" s="26">
        <f>LPL!G12</f>
        <v>12</v>
      </c>
      <c r="J101" s="26" t="str">
        <f>LPL!H12</f>
        <v>Clid</v>
      </c>
      <c r="K101" s="26">
        <f t="shared" si="49"/>
        <v>12</v>
      </c>
      <c r="L101" s="25">
        <f>LPL!I12</f>
        <v>1580</v>
      </c>
      <c r="M101" s="26">
        <f>LPL!J12</f>
        <v>1474</v>
      </c>
      <c r="N101" s="26">
        <f>LPL!K12</f>
        <v>40</v>
      </c>
      <c r="O101" s="26">
        <f t="shared" si="50"/>
        <v>5</v>
      </c>
      <c r="P101" s="25">
        <f>LPL!L12</f>
        <v>35</v>
      </c>
      <c r="Q101" s="26" t="str">
        <f>LPL!M12</f>
        <v>Yagao</v>
      </c>
      <c r="R101" s="26">
        <f>LPL!N12</f>
        <v>1576</v>
      </c>
      <c r="S101" s="26" t="e">
        <f t="shared" si="51"/>
        <v>#VALUE!</v>
      </c>
      <c r="T101" s="25">
        <f>LPL!O12</f>
        <v>1474</v>
      </c>
      <c r="U101" s="26">
        <f>LPL!P12</f>
        <v>14</v>
      </c>
      <c r="V101" s="26">
        <f>LPL!Q12</f>
        <v>12</v>
      </c>
      <c r="W101" s="26">
        <f t="shared" si="52"/>
        <v>11</v>
      </c>
    </row>
    <row r="102" spans="2:23">
      <c r="B102" s="25" t="str">
        <f>LPL!A13</f>
        <v>OMG</v>
      </c>
      <c r="C102" s="25" t="str">
        <f>LPL!B13</f>
        <v>OMG</v>
      </c>
      <c r="D102" s="44" t="str">
        <f>LPL!C13</f>
        <v>Xiyang</v>
      </c>
      <c r="E102" s="26">
        <f>LPL!D13</f>
        <v>1545</v>
      </c>
      <c r="F102" s="26">
        <f>LPL!E13</f>
        <v>1473</v>
      </c>
      <c r="G102" s="26">
        <f>RANK(E102,E$92:E$105)</f>
        <v>8</v>
      </c>
      <c r="H102" s="25">
        <f>LPL!F13</f>
        <v>114</v>
      </c>
      <c r="I102" s="26">
        <f>LPL!G13</f>
        <v>101</v>
      </c>
      <c r="J102" s="26" t="str">
        <f>LPL!H13</f>
        <v>Iceloli</v>
      </c>
      <c r="K102" s="26">
        <f>RANK(I102,I$92:I$105)</f>
        <v>4</v>
      </c>
      <c r="L102" s="25">
        <f>LPL!I13</f>
        <v>1644</v>
      </c>
      <c r="M102" s="26">
        <f>LPL!J13</f>
        <v>1451</v>
      </c>
      <c r="N102" s="26">
        <f>LPL!K13</f>
        <v>33</v>
      </c>
      <c r="O102" s="26">
        <f>RANK(M102,M$92:M$105)</f>
        <v>9</v>
      </c>
      <c r="P102" s="25">
        <f>LPL!L13</f>
        <v>32</v>
      </c>
      <c r="Q102" s="26" t="str">
        <f>LPL!M13</f>
        <v>icon</v>
      </c>
      <c r="R102" s="26">
        <f>LPL!N13</f>
        <v>1501</v>
      </c>
      <c r="S102" s="26" t="e">
        <f t="shared" si="51"/>
        <v>#VALUE!</v>
      </c>
      <c r="T102" s="25">
        <f>LPL!O13</f>
        <v>1425</v>
      </c>
      <c r="U102" s="26">
        <f>LPL!P13</f>
        <v>86</v>
      </c>
      <c r="V102" s="26">
        <f>LPL!Q13</f>
        <v>75</v>
      </c>
      <c r="W102" s="26">
        <f t="shared" si="52"/>
        <v>6</v>
      </c>
    </row>
    <row r="103" spans="2:23">
      <c r="B103" s="25" t="str">
        <f>LPL!A14</f>
        <v>Rogue Warriors</v>
      </c>
      <c r="C103" s="25" t="str">
        <f>LPL!B14</f>
        <v>ROG</v>
      </c>
      <c r="D103" s="44" t="str">
        <f>LPL!C14</f>
        <v>Mouse</v>
      </c>
      <c r="E103" s="26">
        <f>LPL!D14</f>
        <v>1558</v>
      </c>
      <c r="F103" s="26">
        <f>LPL!E14</f>
        <v>1636</v>
      </c>
      <c r="G103" s="26">
        <f t="shared" si="48"/>
        <v>7</v>
      </c>
      <c r="H103" s="25">
        <f>LPL!F14</f>
        <v>81</v>
      </c>
      <c r="I103" s="26">
        <f>LPL!G14</f>
        <v>84</v>
      </c>
      <c r="J103" s="26" t="str">
        <f>LPL!H14</f>
        <v>Flawless</v>
      </c>
      <c r="K103" s="26">
        <f t="shared" si="49"/>
        <v>6</v>
      </c>
      <c r="L103" s="25">
        <f>LPL!I14</f>
        <v>1409</v>
      </c>
      <c r="M103" s="26">
        <f>LPL!J14</f>
        <v>1466</v>
      </c>
      <c r="N103" s="26">
        <f>LPL!K14</f>
        <v>53</v>
      </c>
      <c r="O103" s="26">
        <f t="shared" si="50"/>
        <v>6</v>
      </c>
      <c r="P103" s="25">
        <f>LPL!L14</f>
        <v>49</v>
      </c>
      <c r="Q103" s="26" t="str">
        <f>LPL!M14</f>
        <v>Doinb</v>
      </c>
      <c r="R103" s="26">
        <f>LPL!N14</f>
        <v>1526</v>
      </c>
      <c r="S103" s="26" t="e">
        <f t="shared" si="51"/>
        <v>#VALUE!</v>
      </c>
      <c r="T103" s="25">
        <f>LPL!O14</f>
        <v>1498</v>
      </c>
      <c r="U103" s="26">
        <f>LPL!P14</f>
        <v>109</v>
      </c>
      <c r="V103" s="26">
        <f>LPL!Q14</f>
        <v>102</v>
      </c>
      <c r="W103" s="26">
        <f t="shared" si="52"/>
        <v>4</v>
      </c>
    </row>
    <row r="104" spans="2:23">
      <c r="B104" s="25" t="str">
        <f>LPL!A15</f>
        <v>SN Gaming</v>
      </c>
      <c r="C104" s="25" t="str">
        <f>LPL!B15</f>
        <v>SNG</v>
      </c>
      <c r="D104" s="44" t="str">
        <f>LPL!C15</f>
        <v>XiaoAL</v>
      </c>
      <c r="E104" s="26">
        <f>LPL!D15</f>
        <v>1424</v>
      </c>
      <c r="F104" s="26">
        <f>LPL!E15</f>
        <v>1445</v>
      </c>
      <c r="G104" s="26">
        <f t="shared" si="48"/>
        <v>13</v>
      </c>
      <c r="H104" s="25">
        <f>LPL!F15</f>
        <v>29</v>
      </c>
      <c r="I104" s="26">
        <f>LPL!G15</f>
        <v>33</v>
      </c>
      <c r="J104" s="26" t="str">
        <f>LPL!H15</f>
        <v>Tian</v>
      </c>
      <c r="K104" s="26">
        <f t="shared" si="49"/>
        <v>10</v>
      </c>
      <c r="L104" s="25">
        <f>LPL!I15</f>
        <v>1448</v>
      </c>
      <c r="M104" s="26">
        <f>LPL!J15</f>
        <v>1463</v>
      </c>
      <c r="N104" s="26">
        <f>LPL!K15</f>
        <v>5</v>
      </c>
      <c r="O104" s="26">
        <f t="shared" si="50"/>
        <v>7</v>
      </c>
      <c r="P104" s="25">
        <f>LPL!L15</f>
        <v>10</v>
      </c>
      <c r="Q104" s="26" t="str">
        <f>LPL!M15</f>
        <v>Knight</v>
      </c>
      <c r="R104" s="26">
        <f>LPL!N15</f>
        <v>1435</v>
      </c>
      <c r="S104" s="26" t="e">
        <f t="shared" si="51"/>
        <v>#VALUE!</v>
      </c>
      <c r="T104" s="25">
        <f>LPL!O15</f>
        <v>1452</v>
      </c>
      <c r="U104" s="26">
        <f>LPL!P15</f>
        <v>8</v>
      </c>
      <c r="V104" s="26">
        <f>LPL!Q15</f>
        <v>13</v>
      </c>
      <c r="W104" s="26">
        <f>RANK(U104,U$92:U$105)</f>
        <v>12</v>
      </c>
    </row>
    <row r="105" spans="2:23">
      <c r="B105" s="25" t="str">
        <f>LPL!A16</f>
        <v>Invictus Gaming</v>
      </c>
      <c r="C105" s="25" t="str">
        <f>LPL!B16</f>
        <v>iG</v>
      </c>
      <c r="D105" s="44" t="str">
        <f>LPL!C16</f>
        <v>TheShy</v>
      </c>
      <c r="E105" s="26">
        <f>LPL!D16</f>
        <v>1632</v>
      </c>
      <c r="F105" s="26">
        <f>LPL!E16</f>
        <v>1662</v>
      </c>
      <c r="G105" s="26">
        <f t="shared" si="48"/>
        <v>4</v>
      </c>
      <c r="H105" s="25">
        <f>LPL!F16</f>
        <v>20</v>
      </c>
      <c r="I105" s="26">
        <f>LPL!G16</f>
        <v>31</v>
      </c>
      <c r="J105" s="26" t="str">
        <f>LPL!H16</f>
        <v>Ning</v>
      </c>
      <c r="K105" s="26">
        <f>RANK(I105,I$92:I$105)</f>
        <v>11</v>
      </c>
      <c r="L105" s="25">
        <f>LPL!I16</f>
        <v>1664</v>
      </c>
      <c r="M105" s="26">
        <f>LPL!J16</f>
        <v>1668</v>
      </c>
      <c r="N105" s="26">
        <f>LPL!K16</f>
        <v>35</v>
      </c>
      <c r="O105" s="26">
        <f t="shared" si="50"/>
        <v>1</v>
      </c>
      <c r="P105" s="25">
        <f>LPL!L16</f>
        <v>51</v>
      </c>
      <c r="Q105" s="26" t="str">
        <f>LPL!M16</f>
        <v>Rookie</v>
      </c>
      <c r="R105" s="26">
        <f>LPL!N16</f>
        <v>1624</v>
      </c>
      <c r="S105" s="26" t="e">
        <f t="shared" si="51"/>
        <v>#VALUE!</v>
      </c>
      <c r="T105" s="25">
        <f>LPL!O16</f>
        <v>1597</v>
      </c>
      <c r="U105" s="26">
        <f>LPL!P16</f>
        <v>165</v>
      </c>
      <c r="V105" s="26">
        <f>LPL!Q16</f>
        <v>169</v>
      </c>
      <c r="W105" s="26">
        <f t="shared" si="52"/>
        <v>2</v>
      </c>
    </row>
    <row r="106" spans="2:23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</row>
    <row r="107" spans="2:23">
      <c r="B107" s="111" t="s">
        <v>297</v>
      </c>
      <c r="C107" s="111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P107" s="112" t="s">
        <v>310</v>
      </c>
      <c r="Q107" s="113"/>
      <c r="R107" s="113"/>
      <c r="S107" s="114"/>
      <c r="T107" s="23"/>
      <c r="U107" s="23"/>
      <c r="V107" s="23"/>
    </row>
    <row r="108" spans="2:23">
      <c r="B108" s="27" t="s">
        <v>255</v>
      </c>
      <c r="C108" s="27" t="s">
        <v>256</v>
      </c>
      <c r="D108" s="33" t="s">
        <v>298</v>
      </c>
      <c r="E108" s="47" t="s">
        <v>296</v>
      </c>
      <c r="F108" s="23"/>
      <c r="G108" s="23"/>
      <c r="H108" s="23"/>
      <c r="I108" s="23"/>
      <c r="J108" s="23"/>
      <c r="K108" s="23"/>
      <c r="L108" s="23"/>
      <c r="M108" s="23"/>
      <c r="N108" s="23"/>
      <c r="P108" s="112" t="s">
        <v>311</v>
      </c>
      <c r="Q108" s="114"/>
      <c r="R108" s="35" t="s">
        <v>256</v>
      </c>
      <c r="S108" s="35" t="s">
        <v>296</v>
      </c>
      <c r="T108" s="23"/>
      <c r="U108" s="23"/>
      <c r="V108" s="23"/>
    </row>
    <row r="109" spans="2:23">
      <c r="B109" s="25" t="str">
        <f t="shared" ref="B109:B118" si="53">B92</f>
        <v>Royal Never Give Up</v>
      </c>
      <c r="C109" s="32">
        <f>LPL!AC3</f>
        <v>877</v>
      </c>
      <c r="D109" s="34">
        <f>C109/LPL!$AF$3</f>
        <v>1.1093993539497164</v>
      </c>
      <c r="E109" s="26">
        <f>RANK(C109,$C$109:$C$122)</f>
        <v>1</v>
      </c>
      <c r="F109" s="23"/>
      <c r="G109" s="23"/>
      <c r="H109" s="23"/>
      <c r="I109" s="23"/>
      <c r="J109" s="23"/>
      <c r="K109" s="23"/>
      <c r="L109" s="23"/>
      <c r="M109" s="23"/>
      <c r="N109" s="23"/>
      <c r="P109" s="110" t="str">
        <f t="shared" ref="P109:P118" si="54">B109</f>
        <v>Royal Never Give Up</v>
      </c>
      <c r="Q109" s="110"/>
      <c r="R109" s="26" t="e">
        <f t="shared" ref="R109:R118" si="55">(Q92+U92)/2</f>
        <v>#VALUE!</v>
      </c>
      <c r="S109" s="26" t="e">
        <f>RANK(R109,$R$109:$R$122)</f>
        <v>#VALUE!</v>
      </c>
      <c r="T109" s="23"/>
      <c r="U109" s="23"/>
      <c r="V109" s="23"/>
    </row>
    <row r="110" spans="2:23">
      <c r="B110" s="25" t="str">
        <f t="shared" si="53"/>
        <v>Bilibili Gaming</v>
      </c>
      <c r="C110" s="32">
        <f>LPL!AC4</f>
        <v>802.75</v>
      </c>
      <c r="D110" s="34">
        <f>C110/LPL!$AF$3</f>
        <v>1.0154735819648062</v>
      </c>
      <c r="E110" s="26">
        <f t="shared" ref="E110:E122" si="56">RANK(C110,$C$109:$C$122)</f>
        <v>7</v>
      </c>
      <c r="F110" s="23"/>
      <c r="G110" s="23"/>
      <c r="H110" s="23"/>
      <c r="I110" s="23"/>
      <c r="J110" s="23"/>
      <c r="K110" s="23"/>
      <c r="L110" s="23"/>
      <c r="M110" s="23"/>
      <c r="N110" s="23"/>
      <c r="P110" s="110" t="str">
        <f t="shared" si="54"/>
        <v>Bilibili Gaming</v>
      </c>
      <c r="Q110" s="110"/>
      <c r="R110" s="26" t="e">
        <f t="shared" si="55"/>
        <v>#VALUE!</v>
      </c>
      <c r="S110" s="26" t="e">
        <f t="shared" ref="S110:S122" si="57">RANK(R110,$R$109:$R$122)</f>
        <v>#VALUE!</v>
      </c>
      <c r="T110" s="23"/>
      <c r="U110" s="23"/>
    </row>
    <row r="111" spans="2:23">
      <c r="B111" s="25" t="str">
        <f t="shared" si="53"/>
        <v>LGD Gaming</v>
      </c>
      <c r="C111" s="32">
        <f>LPL!AC5</f>
        <v>732</v>
      </c>
      <c r="D111" s="34">
        <f>C111/LPL!$AF$3</f>
        <v>0.92597528744719781</v>
      </c>
      <c r="E111" s="26">
        <f t="shared" si="56"/>
        <v>11</v>
      </c>
      <c r="F111" s="23"/>
      <c r="G111" s="23"/>
      <c r="H111" s="23"/>
      <c r="I111" s="23"/>
      <c r="J111" s="23"/>
      <c r="K111" s="23"/>
      <c r="L111" s="23"/>
      <c r="M111" s="23"/>
      <c r="N111" s="23"/>
      <c r="P111" s="110" t="str">
        <f t="shared" si="54"/>
        <v>LGD Gaming</v>
      </c>
      <c r="Q111" s="110"/>
      <c r="R111" s="26" t="e">
        <f t="shared" si="55"/>
        <v>#VALUE!</v>
      </c>
      <c r="S111" s="26" t="e">
        <f>RANK(R111,$R$109:$R$122)</f>
        <v>#VALUE!</v>
      </c>
      <c r="T111" s="23"/>
      <c r="U111" s="23"/>
    </row>
    <row r="112" spans="2:23">
      <c r="B112" s="25" t="str">
        <f t="shared" si="53"/>
        <v>Vici Gaming</v>
      </c>
      <c r="C112" s="32">
        <f>LPL!AC6</f>
        <v>730.75</v>
      </c>
      <c r="D112" s="34">
        <f>C112/LPL!$AF$3</f>
        <v>0.92439404549458992</v>
      </c>
      <c r="E112" s="26">
        <f t="shared" si="56"/>
        <v>13</v>
      </c>
      <c r="F112" s="23"/>
      <c r="G112" s="23"/>
      <c r="H112" s="23"/>
      <c r="I112" s="23"/>
      <c r="J112" s="23"/>
      <c r="K112" s="23"/>
      <c r="L112" s="23"/>
      <c r="M112" s="23"/>
      <c r="N112" s="23"/>
      <c r="P112" s="110" t="str">
        <f t="shared" si="54"/>
        <v>Vici Gaming</v>
      </c>
      <c r="Q112" s="110"/>
      <c r="R112" s="26" t="e">
        <f t="shared" si="55"/>
        <v>#VALUE!</v>
      </c>
      <c r="S112" s="26" t="e">
        <f>RANK(R112,$R$109:$R$122)</f>
        <v>#VALUE!</v>
      </c>
      <c r="T112" s="23"/>
      <c r="U112" s="23"/>
    </row>
    <row r="113" spans="2:21">
      <c r="B113" s="25" t="str">
        <f t="shared" si="53"/>
        <v>FunPlus Phoenix</v>
      </c>
      <c r="C113" s="32">
        <f>LPL!AC7</f>
        <v>754.25</v>
      </c>
      <c r="D113" s="34">
        <f>C113/LPL!$AF$3</f>
        <v>0.95412139420361886</v>
      </c>
      <c r="E113" s="26">
        <f t="shared" si="56"/>
        <v>10</v>
      </c>
      <c r="F113" s="23"/>
      <c r="G113" s="23"/>
      <c r="H113" s="23"/>
      <c r="I113" s="23"/>
      <c r="J113" s="23"/>
      <c r="K113" s="23"/>
      <c r="L113" s="23"/>
      <c r="M113" s="23"/>
      <c r="N113" s="23"/>
      <c r="P113" s="110" t="str">
        <f t="shared" si="54"/>
        <v>FunPlus Phoenix</v>
      </c>
      <c r="Q113" s="110"/>
      <c r="R113" s="26" t="e">
        <f t="shared" si="55"/>
        <v>#VALUE!</v>
      </c>
      <c r="S113" s="26" t="e">
        <f>RANK(R113,$R$109:$R$122)</f>
        <v>#VALUE!</v>
      </c>
      <c r="T113" s="23"/>
      <c r="U113" s="23"/>
    </row>
    <row r="114" spans="2:21">
      <c r="B114" s="25" t="str">
        <f t="shared" si="53"/>
        <v>Snake Esports</v>
      </c>
      <c r="C114" s="32">
        <f>LPL!AC8</f>
        <v>806</v>
      </c>
      <c r="D114" s="34">
        <f>C114/LPL!$AF$3</f>
        <v>1.0195848110415866</v>
      </c>
      <c r="E114" s="26">
        <f t="shared" si="56"/>
        <v>5</v>
      </c>
      <c r="F114" s="23"/>
      <c r="G114" s="23"/>
      <c r="H114" s="23"/>
      <c r="I114" s="23"/>
      <c r="N114" s="23"/>
      <c r="P114" s="110" t="str">
        <f t="shared" si="54"/>
        <v>Snake Esports</v>
      </c>
      <c r="Q114" s="110"/>
      <c r="R114" s="26" t="e">
        <f t="shared" si="55"/>
        <v>#VALUE!</v>
      </c>
      <c r="S114" s="26" t="e">
        <f>RANK(R114,$R$109:$R$122)</f>
        <v>#VALUE!</v>
      </c>
      <c r="T114" s="23"/>
      <c r="U114" s="23"/>
    </row>
    <row r="115" spans="2:21">
      <c r="B115" s="25" t="str">
        <f t="shared" si="53"/>
        <v>Topsports Gaming</v>
      </c>
      <c r="C115" s="32">
        <f>LPL!AC9</f>
        <v>693.25</v>
      </c>
      <c r="D115" s="34">
        <f>C115/LPL!$AF$3</f>
        <v>0.87695678691635237</v>
      </c>
      <c r="E115" s="26">
        <f t="shared" si="56"/>
        <v>14</v>
      </c>
      <c r="F115" s="23"/>
      <c r="G115" s="23"/>
      <c r="H115" s="23"/>
      <c r="I115" s="23"/>
      <c r="N115" s="23"/>
      <c r="P115" s="110" t="str">
        <f t="shared" si="54"/>
        <v>Topsports Gaming</v>
      </c>
      <c r="Q115" s="110"/>
      <c r="R115" s="26" t="e">
        <f t="shared" si="55"/>
        <v>#VALUE!</v>
      </c>
      <c r="S115" s="26" t="e">
        <f>RANK(R115,$R$109:$R$122)</f>
        <v>#VALUE!</v>
      </c>
      <c r="T115" s="23"/>
      <c r="U115" s="23"/>
    </row>
    <row r="116" spans="2:21">
      <c r="B116" s="25" t="str">
        <f t="shared" si="53"/>
        <v>EDward Gaming</v>
      </c>
      <c r="C116" s="32">
        <f>LPL!AC10</f>
        <v>837</v>
      </c>
      <c r="D116" s="34">
        <f>C116/LPL!$AF$3</f>
        <v>1.0587996114662632</v>
      </c>
      <c r="E116" s="26">
        <f t="shared" si="56"/>
        <v>4</v>
      </c>
      <c r="F116" s="23"/>
      <c r="G116" s="23"/>
      <c r="H116" s="23"/>
      <c r="I116" s="23"/>
      <c r="N116" s="23"/>
      <c r="P116" s="110" t="str">
        <f t="shared" si="54"/>
        <v>EDward Gaming</v>
      </c>
      <c r="Q116" s="110"/>
      <c r="R116" s="26" t="e">
        <f t="shared" si="55"/>
        <v>#VALUE!</v>
      </c>
      <c r="S116" s="26" t="e">
        <f t="shared" si="57"/>
        <v>#VALUE!</v>
      </c>
      <c r="T116" s="23"/>
      <c r="U116" s="23"/>
    </row>
    <row r="117" spans="2:21">
      <c r="B117" s="25" t="str">
        <f t="shared" si="53"/>
        <v>Team WE</v>
      </c>
      <c r="C117" s="32">
        <f>LPL!AC11</f>
        <v>859.25</v>
      </c>
      <c r="D117" s="34">
        <f>C117/LPL!$AF$3</f>
        <v>1.086945718222684</v>
      </c>
      <c r="E117" s="26">
        <f t="shared" si="56"/>
        <v>3</v>
      </c>
      <c r="F117" s="23"/>
      <c r="G117" s="23"/>
      <c r="H117" s="23"/>
      <c r="I117" s="23"/>
      <c r="N117" s="23"/>
      <c r="P117" s="110" t="str">
        <f t="shared" si="54"/>
        <v>Team WE</v>
      </c>
      <c r="Q117" s="110"/>
      <c r="R117" s="26" t="e">
        <f t="shared" si="55"/>
        <v>#VALUE!</v>
      </c>
      <c r="S117" s="26" t="e">
        <f>RANK(R117,$R$109:$R$122)</f>
        <v>#VALUE!</v>
      </c>
      <c r="T117" s="23"/>
      <c r="U117" s="23"/>
    </row>
    <row r="118" spans="2:21">
      <c r="B118" s="25" t="str">
        <f t="shared" si="53"/>
        <v>JD Gaming</v>
      </c>
      <c r="C118" s="32">
        <f>LPL!AC12</f>
        <v>769</v>
      </c>
      <c r="D118" s="34">
        <f>C118/LPL!$AF$3</f>
        <v>0.97278004924439232</v>
      </c>
      <c r="E118" s="26">
        <f t="shared" si="56"/>
        <v>9</v>
      </c>
      <c r="F118" s="23"/>
      <c r="G118" s="23"/>
      <c r="H118" s="23"/>
      <c r="I118" s="23"/>
      <c r="N118" s="23"/>
      <c r="P118" s="110" t="str">
        <f t="shared" si="54"/>
        <v>JD Gaming</v>
      </c>
      <c r="Q118" s="110"/>
      <c r="R118" s="26" t="e">
        <f t="shared" si="55"/>
        <v>#VALUE!</v>
      </c>
      <c r="S118" s="26" t="e">
        <f>RANK(R118,$R$109:$R$122)</f>
        <v>#VALUE!</v>
      </c>
      <c r="T118" s="23"/>
      <c r="U118" s="23"/>
    </row>
    <row r="119" spans="2:21">
      <c r="B119" s="25" t="str">
        <f>B102</f>
        <v>OMG</v>
      </c>
      <c r="C119" s="32">
        <f>LPL!AC13</f>
        <v>795.75</v>
      </c>
      <c r="D119" s="34">
        <f>C119/LPL!$AF$3</f>
        <v>1.0066186270302018</v>
      </c>
      <c r="E119" s="26">
        <f t="shared" si="56"/>
        <v>8</v>
      </c>
      <c r="P119" s="110" t="str">
        <f>B119</f>
        <v>OMG</v>
      </c>
      <c r="Q119" s="110"/>
      <c r="R119" s="26" t="e">
        <f>(Q102+U102)/2</f>
        <v>#VALUE!</v>
      </c>
      <c r="S119" s="26" t="e">
        <f t="shared" si="57"/>
        <v>#VALUE!</v>
      </c>
    </row>
    <row r="120" spans="2:21">
      <c r="B120" s="25" t="str">
        <f>B103</f>
        <v>Rogue Warriors</v>
      </c>
      <c r="C120" s="32">
        <f>LPL!AC14</f>
        <v>804.25</v>
      </c>
      <c r="D120" s="34">
        <f>C120/LPL!$AF$3</f>
        <v>1.0173710723079357</v>
      </c>
      <c r="E120" s="26">
        <f t="shared" si="56"/>
        <v>6</v>
      </c>
      <c r="P120" s="110" t="str">
        <f>B120</f>
        <v>Rogue Warriors</v>
      </c>
      <c r="Q120" s="110"/>
      <c r="R120" s="26" t="e">
        <f>(Q103+U103)/2</f>
        <v>#VALUE!</v>
      </c>
      <c r="S120" s="26" t="e">
        <f t="shared" si="57"/>
        <v>#VALUE!</v>
      </c>
    </row>
    <row r="121" spans="2:21">
      <c r="B121" s="25" t="str">
        <f>B104</f>
        <v>SN Gaming</v>
      </c>
      <c r="C121" s="32">
        <f>LPL!AC15</f>
        <v>732</v>
      </c>
      <c r="D121" s="34">
        <f>C121/LPL!$AF$3</f>
        <v>0.92597528744719781</v>
      </c>
      <c r="E121" s="26">
        <f t="shared" si="56"/>
        <v>11</v>
      </c>
      <c r="P121" s="110" t="str">
        <f>B121</f>
        <v>SN Gaming</v>
      </c>
      <c r="Q121" s="110"/>
      <c r="R121" s="26" t="e">
        <f>(Q104+U104)/2</f>
        <v>#VALUE!</v>
      </c>
      <c r="S121" s="26" t="e">
        <f t="shared" si="57"/>
        <v>#VALUE!</v>
      </c>
    </row>
    <row r="122" spans="2:21">
      <c r="B122" s="25" t="str">
        <f>B105</f>
        <v>Invictus Gaming</v>
      </c>
      <c r="C122" s="32">
        <f>LPL!AC16</f>
        <v>874</v>
      </c>
      <c r="D122" s="34">
        <f>C122/LPL!$AF$3</f>
        <v>1.1056043732634575</v>
      </c>
      <c r="E122" s="26">
        <f t="shared" si="56"/>
        <v>2</v>
      </c>
      <c r="P122" s="110" t="str">
        <f>B122</f>
        <v>Invictus Gaming</v>
      </c>
      <c r="Q122" s="110"/>
      <c r="R122" s="26" t="e">
        <f>(Q105+U105)/2</f>
        <v>#VALUE!</v>
      </c>
      <c r="S122" s="26" t="e">
        <f t="shared" si="57"/>
        <v>#VALUE!</v>
      </c>
    </row>
  </sheetData>
  <mergeCells count="96">
    <mergeCell ref="Y5:AO5"/>
    <mergeCell ref="AM6:AO6"/>
    <mergeCell ref="AJ6:AL6"/>
    <mergeCell ref="AG6:AI6"/>
    <mergeCell ref="AD6:AF6"/>
    <mergeCell ref="AA6:AC6"/>
    <mergeCell ref="Y6:Y7"/>
    <mergeCell ref="Z6:Z7"/>
    <mergeCell ref="P25:Q25"/>
    <mergeCell ref="P26:Q26"/>
    <mergeCell ref="P27:Q27"/>
    <mergeCell ref="P28:Q28"/>
    <mergeCell ref="L6:O6"/>
    <mergeCell ref="P6:S6"/>
    <mergeCell ref="P20:Q20"/>
    <mergeCell ref="P21:Q21"/>
    <mergeCell ref="P22:Q22"/>
    <mergeCell ref="P23:Q23"/>
    <mergeCell ref="P24:Q24"/>
    <mergeCell ref="T6:W6"/>
    <mergeCell ref="B5:W5"/>
    <mergeCell ref="B19:C19"/>
    <mergeCell ref="B6:B7"/>
    <mergeCell ref="C6:C7"/>
    <mergeCell ref="D6:G6"/>
    <mergeCell ref="H6:K6"/>
    <mergeCell ref="P19:S19"/>
    <mergeCell ref="P53:Q53"/>
    <mergeCell ref="B34:B35"/>
    <mergeCell ref="C34:C35"/>
    <mergeCell ref="D34:G34"/>
    <mergeCell ref="H34:K34"/>
    <mergeCell ref="L34:O34"/>
    <mergeCell ref="P34:S34"/>
    <mergeCell ref="P52:Q52"/>
    <mergeCell ref="P51:Q51"/>
    <mergeCell ref="P50:Q50"/>
    <mergeCell ref="P49:Q49"/>
    <mergeCell ref="P48:Q48"/>
    <mergeCell ref="P58:Q58"/>
    <mergeCell ref="P57:Q57"/>
    <mergeCell ref="P56:Q56"/>
    <mergeCell ref="P55:Q55"/>
    <mergeCell ref="P54:Q54"/>
    <mergeCell ref="P29:Q29"/>
    <mergeCell ref="P30:Q30"/>
    <mergeCell ref="B33:W33"/>
    <mergeCell ref="T34:W34"/>
    <mergeCell ref="B47:C47"/>
    <mergeCell ref="P47:S47"/>
    <mergeCell ref="B61:W61"/>
    <mergeCell ref="B62:B63"/>
    <mergeCell ref="C62:C63"/>
    <mergeCell ref="D62:G62"/>
    <mergeCell ref="H62:K62"/>
    <mergeCell ref="L62:O62"/>
    <mergeCell ref="P62:S62"/>
    <mergeCell ref="T62:W62"/>
    <mergeCell ref="P85:Q85"/>
    <mergeCell ref="B75:C75"/>
    <mergeCell ref="P75:S75"/>
    <mergeCell ref="P76:Q76"/>
    <mergeCell ref="P77:Q77"/>
    <mergeCell ref="P78:Q78"/>
    <mergeCell ref="P79:Q79"/>
    <mergeCell ref="P80:Q80"/>
    <mergeCell ref="P81:Q81"/>
    <mergeCell ref="P82:Q82"/>
    <mergeCell ref="P83:Q83"/>
    <mergeCell ref="P84:Q84"/>
    <mergeCell ref="P86:Q86"/>
    <mergeCell ref="B89:W89"/>
    <mergeCell ref="B90:B91"/>
    <mergeCell ref="C90:C91"/>
    <mergeCell ref="D90:G90"/>
    <mergeCell ref="H90:K90"/>
    <mergeCell ref="L90:O90"/>
    <mergeCell ref="P90:S90"/>
    <mergeCell ref="T90:W90"/>
    <mergeCell ref="P117:Q117"/>
    <mergeCell ref="B107:C107"/>
    <mergeCell ref="P107:S107"/>
    <mergeCell ref="P108:Q108"/>
    <mergeCell ref="P109:Q109"/>
    <mergeCell ref="P110:Q110"/>
    <mergeCell ref="P111:Q111"/>
    <mergeCell ref="P112:Q112"/>
    <mergeCell ref="P113:Q113"/>
    <mergeCell ref="P114:Q114"/>
    <mergeCell ref="P115:Q115"/>
    <mergeCell ref="P116:Q116"/>
    <mergeCell ref="P118:Q118"/>
    <mergeCell ref="P119:Q119"/>
    <mergeCell ref="P120:Q120"/>
    <mergeCell ref="P121:Q121"/>
    <mergeCell ref="P122:Q122"/>
  </mergeCells>
  <conditionalFormatting sqref="D21:D30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9:D58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9:R58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1:R30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7:D86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7:R86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09:D122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09:R122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8:I17 M8:M17 Q8:Q17 U8:U17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6:E45 I36:I45 M36:M45 Q36:Q45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64:E73 I64:I73 M64:M73 Q64:Q73 U64:U7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92:E105 I92:I105 M92:M105 Q92:Q105 U92:U105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K21:AK30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8:I1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8:M1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8:Q1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8:E1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8:U1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6:E4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36:I4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max"/>
        <color rgb="FFFFEF9C"/>
        <color rgb="FF63BE7B"/>
      </colorScale>
    </cfRule>
  </conditionalFormatting>
  <conditionalFormatting sqref="M36:M4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6:Q4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36:U45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8:Q17 M8:M17 I8:I17 E8:E1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horizontalDpi="300" r:id="rId1"/>
  <ignoredErrors>
    <ignoredError sqref="AB8:AD17 AE8:AG17 AH8:AJ17 AK8:AM17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autoFill="0" autoPict="0" macro="[0]!Region_update">
                <anchor moveWithCells="1" sizeWithCells="1">
                  <from>
                    <xdr:col>2</xdr:col>
                    <xdr:colOff>276225</xdr:colOff>
                    <xdr:row>1</xdr:row>
                    <xdr:rowOff>66675</xdr:rowOff>
                  </from>
                  <to>
                    <xdr:col>4</xdr:col>
                    <xdr:colOff>523875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AH43"/>
  <sheetViews>
    <sheetView zoomScale="80" zoomScaleNormal="80" workbookViewId="0">
      <selection activeCell="X39" sqref="X39"/>
    </sheetView>
  </sheetViews>
  <sheetFormatPr defaultColWidth="10.875" defaultRowHeight="15.75"/>
  <cols>
    <col min="1" max="1" width="15.875" style="91" bestFit="1" customWidth="1"/>
    <col min="2" max="2" width="5.125" style="91" bestFit="1" customWidth="1"/>
    <col min="3" max="3" width="11.625" style="91" bestFit="1" customWidth="1"/>
    <col min="4" max="4" width="7.875" style="91" bestFit="1" customWidth="1"/>
    <col min="5" max="5" width="7.5" style="91" bestFit="1" customWidth="1"/>
    <col min="6" max="6" width="11.125" style="91" bestFit="1" customWidth="1"/>
    <col min="7" max="7" width="10.875" style="91" bestFit="1" customWidth="1"/>
    <col min="8" max="8" width="11.125" style="91" bestFit="1" customWidth="1"/>
    <col min="9" max="9" width="11.625" style="91" bestFit="1" customWidth="1"/>
    <col min="10" max="11" width="5.625" style="91" bestFit="1" customWidth="1"/>
    <col min="12" max="12" width="4.5" style="91" bestFit="1" customWidth="1"/>
    <col min="13" max="13" width="9.875" style="91" bestFit="1" customWidth="1"/>
    <col min="14" max="14" width="7.625" style="91" bestFit="1" customWidth="1"/>
    <col min="15" max="15" width="10" style="91" bestFit="1" customWidth="1"/>
    <col min="16" max="17" width="5.625" style="91" bestFit="1" customWidth="1"/>
    <col min="18" max="18" width="11.5" style="91" bestFit="1" customWidth="1"/>
    <col min="19" max="19" width="5.625" style="91" bestFit="1" customWidth="1"/>
    <col min="20" max="20" width="7.625" style="91" bestFit="1" customWidth="1"/>
    <col min="21" max="21" width="11.875" style="91" bestFit="1" customWidth="1"/>
    <col min="22" max="22" width="5.625" style="91" bestFit="1" customWidth="1"/>
    <col min="23" max="23" width="10" style="91" bestFit="1" customWidth="1"/>
    <col min="24" max="25" width="5.625" style="91" bestFit="1" customWidth="1"/>
    <col min="26" max="26" width="7.625" style="91" bestFit="1" customWidth="1"/>
    <col min="27" max="27" width="10.625" style="91" bestFit="1" customWidth="1"/>
    <col min="28" max="29" width="5.625" style="91" bestFit="1" customWidth="1"/>
    <col min="30" max="30" width="15.375" style="91" bestFit="1" customWidth="1"/>
    <col min="31" max="31" width="4.5" style="91" bestFit="1" customWidth="1"/>
    <col min="32" max="32" width="7.625" style="91" bestFit="1" customWidth="1"/>
    <col min="33" max="33" width="5" style="91" bestFit="1" customWidth="1"/>
    <col min="34" max="16384" width="10.875" style="91"/>
  </cols>
  <sheetData>
    <row r="1" spans="1:34">
      <c r="A1" s="91" t="s">
        <v>389</v>
      </c>
    </row>
    <row r="2" spans="1:34">
      <c r="A2" s="98"/>
      <c r="B2" s="98"/>
      <c r="C2" s="98"/>
      <c r="D2" s="98"/>
      <c r="E2" s="98"/>
      <c r="F2" s="98"/>
      <c r="G2" s="98"/>
      <c r="H2" s="98"/>
      <c r="I2" s="71"/>
      <c r="J2" s="102"/>
      <c r="K2" s="102"/>
      <c r="L2" s="102"/>
      <c r="M2" s="102"/>
      <c r="N2" s="98"/>
      <c r="O2" s="71"/>
      <c r="P2" s="102"/>
      <c r="Q2" s="102"/>
      <c r="R2" s="102"/>
      <c r="S2" s="102"/>
      <c r="T2" s="98"/>
      <c r="U2" s="71"/>
      <c r="V2" s="102"/>
      <c r="W2" s="102"/>
      <c r="X2" s="102"/>
      <c r="Y2" s="102"/>
      <c r="Z2" s="98"/>
      <c r="AA2" s="71"/>
      <c r="AB2" s="102"/>
      <c r="AC2" s="102"/>
      <c r="AD2" s="89" t="s">
        <v>297</v>
      </c>
      <c r="AE2" s="102"/>
    </row>
    <row r="3" spans="1:34">
      <c r="A3" s="103" t="s">
        <v>198</v>
      </c>
      <c r="B3" s="103" t="s">
        <v>199</v>
      </c>
      <c r="C3" s="103" t="s">
        <v>200</v>
      </c>
      <c r="D3" s="103">
        <v>1577</v>
      </c>
      <c r="E3" s="103">
        <v>1592</v>
      </c>
      <c r="F3" s="103">
        <v>179</v>
      </c>
      <c r="G3" s="103">
        <v>161</v>
      </c>
      <c r="H3" s="103" t="s">
        <v>201</v>
      </c>
      <c r="I3" s="103">
        <v>1580</v>
      </c>
      <c r="J3" s="103">
        <v>1633</v>
      </c>
      <c r="K3" s="103">
        <v>65</v>
      </c>
      <c r="L3" s="103">
        <v>42</v>
      </c>
      <c r="M3" s="103" t="s">
        <v>202</v>
      </c>
      <c r="N3" s="103">
        <v>1580</v>
      </c>
      <c r="O3" s="103">
        <v>1629</v>
      </c>
      <c r="P3" s="103">
        <v>67</v>
      </c>
      <c r="Q3" s="103">
        <v>49</v>
      </c>
      <c r="R3" s="103" t="s">
        <v>203</v>
      </c>
      <c r="S3" s="103">
        <v>1593</v>
      </c>
      <c r="T3" s="103">
        <v>1583</v>
      </c>
      <c r="U3" s="103">
        <v>188</v>
      </c>
      <c r="V3" s="103">
        <v>163</v>
      </c>
      <c r="W3" s="103" t="s">
        <v>204</v>
      </c>
      <c r="X3" s="103">
        <v>1572</v>
      </c>
      <c r="Y3" s="103">
        <v>1556</v>
      </c>
      <c r="Z3" s="103">
        <v>121</v>
      </c>
      <c r="AA3" s="103">
        <v>136</v>
      </c>
      <c r="AB3" s="98"/>
      <c r="AC3" s="98"/>
      <c r="AD3" s="97">
        <f t="shared" ref="AD3:AD12" si="0">ROUND(AVERAGE(AF18,Z18,T18,N18,H18),0)</f>
        <v>1588</v>
      </c>
      <c r="AE3" s="98"/>
    </row>
    <row r="4" spans="1:34">
      <c r="A4" s="103" t="s">
        <v>140</v>
      </c>
      <c r="B4" s="103" t="s">
        <v>141</v>
      </c>
      <c r="C4" s="103" t="s">
        <v>142</v>
      </c>
      <c r="D4" s="103">
        <v>1662</v>
      </c>
      <c r="E4" s="103">
        <v>1457</v>
      </c>
      <c r="F4" s="103">
        <v>59</v>
      </c>
      <c r="G4" s="103">
        <v>50</v>
      </c>
      <c r="H4" s="103" t="s">
        <v>143</v>
      </c>
      <c r="I4" s="103">
        <v>1661</v>
      </c>
      <c r="J4" s="103">
        <v>1459</v>
      </c>
      <c r="K4" s="103">
        <v>70</v>
      </c>
      <c r="L4" s="103">
        <v>60</v>
      </c>
      <c r="M4" s="103" t="s">
        <v>144</v>
      </c>
      <c r="N4" s="103">
        <v>1568</v>
      </c>
      <c r="O4" s="103">
        <v>1455</v>
      </c>
      <c r="P4" s="103">
        <v>70</v>
      </c>
      <c r="Q4" s="103">
        <v>82</v>
      </c>
      <c r="R4" s="103" t="s">
        <v>145</v>
      </c>
      <c r="S4" s="103">
        <v>1662</v>
      </c>
      <c r="T4" s="103">
        <v>1457</v>
      </c>
      <c r="U4" s="103">
        <v>59</v>
      </c>
      <c r="V4" s="103">
        <v>50</v>
      </c>
      <c r="W4" s="103" t="s">
        <v>146</v>
      </c>
      <c r="X4" s="103">
        <v>1569</v>
      </c>
      <c r="Y4" s="103">
        <v>1457</v>
      </c>
      <c r="Z4" s="103">
        <v>59</v>
      </c>
      <c r="AA4" s="103">
        <v>70</v>
      </c>
      <c r="AB4" s="98"/>
      <c r="AC4" s="98"/>
      <c r="AD4" s="97">
        <f t="shared" si="0"/>
        <v>1544</v>
      </c>
      <c r="AE4" s="98"/>
    </row>
    <row r="5" spans="1:34">
      <c r="A5" s="103" t="s">
        <v>348</v>
      </c>
      <c r="B5" s="103" t="s">
        <v>285</v>
      </c>
      <c r="C5" s="103" t="s">
        <v>286</v>
      </c>
      <c r="D5" s="103">
        <v>1472</v>
      </c>
      <c r="E5" s="103">
        <v>1478</v>
      </c>
      <c r="F5" s="103">
        <v>79</v>
      </c>
      <c r="G5" s="103">
        <v>90</v>
      </c>
      <c r="H5" s="103" t="s">
        <v>287</v>
      </c>
      <c r="I5" s="103">
        <v>1488</v>
      </c>
      <c r="J5" s="103">
        <v>1571</v>
      </c>
      <c r="K5" s="103">
        <v>54</v>
      </c>
      <c r="L5" s="103">
        <v>64</v>
      </c>
      <c r="M5" s="103" t="s">
        <v>288</v>
      </c>
      <c r="N5" s="103">
        <v>1507</v>
      </c>
      <c r="O5" s="103">
        <v>1584</v>
      </c>
      <c r="P5" s="103">
        <v>11</v>
      </c>
      <c r="Q5" s="103">
        <v>15</v>
      </c>
      <c r="R5" s="103" t="s">
        <v>289</v>
      </c>
      <c r="S5" s="103">
        <v>1507</v>
      </c>
      <c r="T5" s="103">
        <v>1584</v>
      </c>
      <c r="U5" s="103">
        <v>11</v>
      </c>
      <c r="V5" s="103">
        <v>15</v>
      </c>
      <c r="W5" s="103" t="s">
        <v>332</v>
      </c>
      <c r="X5" s="103">
        <v>1524</v>
      </c>
      <c r="Y5" s="103">
        <v>1576</v>
      </c>
      <c r="Z5" s="103">
        <v>10</v>
      </c>
      <c r="AA5" s="103">
        <v>14</v>
      </c>
      <c r="AB5" s="98"/>
      <c r="AC5" s="98"/>
      <c r="AD5" s="97">
        <f t="shared" si="0"/>
        <v>1533</v>
      </c>
      <c r="AE5" s="98"/>
    </row>
    <row r="6" spans="1:34">
      <c r="A6" s="103" t="s">
        <v>34</v>
      </c>
      <c r="B6" s="103" t="s">
        <v>35</v>
      </c>
      <c r="C6" s="103" t="s">
        <v>36</v>
      </c>
      <c r="D6" s="103">
        <v>1568</v>
      </c>
      <c r="E6" s="103">
        <v>1559</v>
      </c>
      <c r="F6" s="103">
        <v>118</v>
      </c>
      <c r="G6" s="103">
        <v>139</v>
      </c>
      <c r="H6" s="103" t="s">
        <v>37</v>
      </c>
      <c r="I6" s="103">
        <v>1384</v>
      </c>
      <c r="J6" s="103">
        <v>1521</v>
      </c>
      <c r="K6" s="103">
        <v>29</v>
      </c>
      <c r="L6" s="103">
        <v>26</v>
      </c>
      <c r="M6" s="103" t="s">
        <v>38</v>
      </c>
      <c r="N6" s="103">
        <v>1450</v>
      </c>
      <c r="O6" s="103">
        <v>1460</v>
      </c>
      <c r="P6" s="103">
        <v>83</v>
      </c>
      <c r="Q6" s="103">
        <v>88</v>
      </c>
      <c r="R6" s="103" t="s">
        <v>39</v>
      </c>
      <c r="S6" s="103">
        <v>1522</v>
      </c>
      <c r="T6" s="103">
        <v>1561</v>
      </c>
      <c r="U6" s="103">
        <v>24</v>
      </c>
      <c r="V6" s="103">
        <v>24</v>
      </c>
      <c r="W6" s="103" t="s">
        <v>40</v>
      </c>
      <c r="X6" s="103">
        <v>1561</v>
      </c>
      <c r="Y6" s="103">
        <v>1543</v>
      </c>
      <c r="Z6" s="103">
        <v>132</v>
      </c>
      <c r="AA6" s="103">
        <v>130</v>
      </c>
      <c r="AB6" s="98"/>
      <c r="AC6" s="98"/>
      <c r="AD6" s="97">
        <f t="shared" si="0"/>
        <v>1512</v>
      </c>
      <c r="AE6" s="98"/>
    </row>
    <row r="7" spans="1:34">
      <c r="A7" s="103" t="s">
        <v>120</v>
      </c>
      <c r="B7" s="103" t="s">
        <v>121</v>
      </c>
      <c r="C7" s="103" t="s">
        <v>122</v>
      </c>
      <c r="D7" s="103">
        <v>1598</v>
      </c>
      <c r="E7" s="103">
        <v>1567</v>
      </c>
      <c r="F7" s="103">
        <v>140</v>
      </c>
      <c r="G7" s="103">
        <v>110</v>
      </c>
      <c r="H7" s="103" t="s">
        <v>123</v>
      </c>
      <c r="I7" s="103">
        <v>1505</v>
      </c>
      <c r="J7" s="103">
        <v>1527</v>
      </c>
      <c r="K7" s="103">
        <v>40</v>
      </c>
      <c r="L7" s="103">
        <v>60</v>
      </c>
      <c r="M7" s="103" t="s">
        <v>124</v>
      </c>
      <c r="N7" s="103">
        <v>1485</v>
      </c>
      <c r="O7" s="103">
        <v>1481</v>
      </c>
      <c r="P7" s="103">
        <v>27</v>
      </c>
      <c r="Q7" s="103">
        <v>35</v>
      </c>
      <c r="R7" s="103" t="s">
        <v>125</v>
      </c>
      <c r="S7" s="103">
        <v>1488</v>
      </c>
      <c r="T7" s="103">
        <v>1513</v>
      </c>
      <c r="U7" s="103">
        <v>68</v>
      </c>
      <c r="V7" s="103">
        <v>85</v>
      </c>
      <c r="W7" s="103" t="s">
        <v>126</v>
      </c>
      <c r="X7" s="103">
        <v>1484</v>
      </c>
      <c r="Y7" s="103">
        <v>1464</v>
      </c>
      <c r="Z7" s="103">
        <v>88</v>
      </c>
      <c r="AA7" s="103">
        <v>77</v>
      </c>
      <c r="AB7" s="98"/>
      <c r="AC7" s="98"/>
      <c r="AD7" s="97">
        <f t="shared" si="0"/>
        <v>1512</v>
      </c>
      <c r="AE7" s="98"/>
    </row>
    <row r="8" spans="1:34">
      <c r="A8" s="103" t="s">
        <v>222</v>
      </c>
      <c r="B8" s="103" t="s">
        <v>223</v>
      </c>
      <c r="C8" s="103" t="s">
        <v>224</v>
      </c>
      <c r="D8" s="103">
        <v>1504</v>
      </c>
      <c r="E8" s="103">
        <v>1450</v>
      </c>
      <c r="F8" s="103">
        <v>69</v>
      </c>
      <c r="G8" s="103">
        <v>84</v>
      </c>
      <c r="H8" s="103" t="s">
        <v>225</v>
      </c>
      <c r="I8" s="103">
        <v>1598</v>
      </c>
      <c r="J8" s="103">
        <v>1535</v>
      </c>
      <c r="K8" s="103">
        <v>165</v>
      </c>
      <c r="L8" s="103">
        <v>149</v>
      </c>
      <c r="M8" s="103" t="s">
        <v>226</v>
      </c>
      <c r="N8" s="103">
        <v>1600</v>
      </c>
      <c r="O8" s="103">
        <v>1592</v>
      </c>
      <c r="P8" s="103">
        <v>110</v>
      </c>
      <c r="Q8" s="103">
        <v>107</v>
      </c>
      <c r="R8" s="103" t="s">
        <v>227</v>
      </c>
      <c r="S8" s="103">
        <v>1452</v>
      </c>
      <c r="T8" s="103">
        <v>1444</v>
      </c>
      <c r="U8" s="103">
        <v>83</v>
      </c>
      <c r="V8" s="103">
        <v>65</v>
      </c>
      <c r="W8" s="103" t="s">
        <v>228</v>
      </c>
      <c r="X8" s="103">
        <v>1437</v>
      </c>
      <c r="Y8" s="103">
        <v>1427</v>
      </c>
      <c r="Z8" s="103">
        <v>38</v>
      </c>
      <c r="AA8" s="103">
        <v>28</v>
      </c>
      <c r="AB8" s="98"/>
      <c r="AC8" s="98"/>
      <c r="AD8" s="97">
        <f t="shared" si="0"/>
        <v>1504</v>
      </c>
      <c r="AE8" s="98"/>
    </row>
    <row r="9" spans="1:34">
      <c r="A9" s="103" t="s">
        <v>349</v>
      </c>
      <c r="B9" s="103" t="s">
        <v>48</v>
      </c>
      <c r="C9" s="103" t="s">
        <v>49</v>
      </c>
      <c r="D9" s="103">
        <v>1530</v>
      </c>
      <c r="E9" s="103">
        <v>1570</v>
      </c>
      <c r="F9" s="103">
        <v>14</v>
      </c>
      <c r="G9" s="103">
        <v>12</v>
      </c>
      <c r="H9" s="103" t="s">
        <v>50</v>
      </c>
      <c r="I9" s="103">
        <v>1490</v>
      </c>
      <c r="J9" s="103">
        <v>1463</v>
      </c>
      <c r="K9" s="103">
        <v>35</v>
      </c>
      <c r="L9" s="103">
        <v>32</v>
      </c>
      <c r="M9" s="103" t="s">
        <v>51</v>
      </c>
      <c r="N9" s="103">
        <v>1461</v>
      </c>
      <c r="O9" s="103">
        <v>1466</v>
      </c>
      <c r="P9" s="103">
        <v>84</v>
      </c>
      <c r="Q9" s="103">
        <v>81</v>
      </c>
      <c r="R9" s="103" t="s">
        <v>52</v>
      </c>
      <c r="S9" s="103">
        <v>1485</v>
      </c>
      <c r="T9" s="103">
        <v>1452</v>
      </c>
      <c r="U9" s="103">
        <v>83</v>
      </c>
      <c r="V9" s="103">
        <v>87</v>
      </c>
      <c r="W9" s="103" t="s">
        <v>53</v>
      </c>
      <c r="X9" s="103">
        <v>1563</v>
      </c>
      <c r="Y9" s="103">
        <v>1527</v>
      </c>
      <c r="Z9" s="103">
        <v>11</v>
      </c>
      <c r="AA9" s="103">
        <v>6</v>
      </c>
      <c r="AB9" s="98"/>
      <c r="AC9" s="98"/>
      <c r="AD9" s="97">
        <f t="shared" si="0"/>
        <v>1501</v>
      </c>
      <c r="AE9" s="98"/>
    </row>
    <row r="10" spans="1:34">
      <c r="A10" s="103" t="s">
        <v>60</v>
      </c>
      <c r="B10" s="103" t="s">
        <v>61</v>
      </c>
      <c r="C10" s="103" t="s">
        <v>62</v>
      </c>
      <c r="D10" s="103">
        <v>1528</v>
      </c>
      <c r="E10" s="103">
        <v>1541</v>
      </c>
      <c r="F10" s="103">
        <v>58</v>
      </c>
      <c r="G10" s="103">
        <v>57</v>
      </c>
      <c r="H10" s="103" t="s">
        <v>63</v>
      </c>
      <c r="I10" s="103">
        <v>1599</v>
      </c>
      <c r="J10" s="103">
        <v>1443</v>
      </c>
      <c r="K10" s="103">
        <v>88</v>
      </c>
      <c r="L10" s="103">
        <v>110</v>
      </c>
      <c r="M10" s="103" t="s">
        <v>64</v>
      </c>
      <c r="N10" s="103">
        <v>1513</v>
      </c>
      <c r="O10" s="103">
        <v>1493</v>
      </c>
      <c r="P10" s="103">
        <v>17</v>
      </c>
      <c r="Q10" s="103">
        <v>19</v>
      </c>
      <c r="R10" s="103" t="s">
        <v>65</v>
      </c>
      <c r="S10" s="103">
        <v>1434</v>
      </c>
      <c r="T10" s="103">
        <v>1446</v>
      </c>
      <c r="U10" s="103">
        <v>1</v>
      </c>
      <c r="V10" s="103">
        <v>3</v>
      </c>
      <c r="W10" s="103" t="s">
        <v>334</v>
      </c>
      <c r="X10" s="103">
        <v>1306</v>
      </c>
      <c r="Y10" s="103">
        <v>1435</v>
      </c>
      <c r="Z10" s="103">
        <v>66</v>
      </c>
      <c r="AA10" s="103">
        <v>61</v>
      </c>
      <c r="AB10" s="98"/>
      <c r="AC10" s="98"/>
      <c r="AD10" s="97">
        <f t="shared" si="0"/>
        <v>1472</v>
      </c>
      <c r="AE10" s="98"/>
    </row>
    <row r="11" spans="1:34">
      <c r="A11" s="103" t="s">
        <v>347</v>
      </c>
      <c r="B11" s="103" t="s">
        <v>89</v>
      </c>
      <c r="C11" s="103" t="s">
        <v>90</v>
      </c>
      <c r="D11" s="103">
        <v>1379</v>
      </c>
      <c r="E11" s="103">
        <v>1520</v>
      </c>
      <c r="F11" s="103">
        <v>27</v>
      </c>
      <c r="G11" s="103">
        <v>25</v>
      </c>
      <c r="H11" s="103" t="s">
        <v>91</v>
      </c>
      <c r="I11" s="103">
        <v>1489</v>
      </c>
      <c r="J11" s="103">
        <v>1503</v>
      </c>
      <c r="K11" s="103">
        <v>43</v>
      </c>
      <c r="L11" s="103">
        <v>51</v>
      </c>
      <c r="M11" s="103" t="s">
        <v>92</v>
      </c>
      <c r="N11" s="103">
        <v>1380</v>
      </c>
      <c r="O11" s="103">
        <v>1494</v>
      </c>
      <c r="P11" s="103">
        <v>20</v>
      </c>
      <c r="Q11" s="103">
        <v>20</v>
      </c>
      <c r="R11" s="103" t="s">
        <v>93</v>
      </c>
      <c r="S11" s="103">
        <v>1315</v>
      </c>
      <c r="T11" s="103">
        <v>1465</v>
      </c>
      <c r="U11" s="103">
        <v>42</v>
      </c>
      <c r="V11" s="103">
        <v>43</v>
      </c>
      <c r="W11" s="103" t="s">
        <v>94</v>
      </c>
      <c r="X11" s="103">
        <v>1532</v>
      </c>
      <c r="Y11" s="103">
        <v>1527</v>
      </c>
      <c r="Z11" s="103">
        <v>20</v>
      </c>
      <c r="AA11" s="103">
        <v>21</v>
      </c>
      <c r="AB11" s="98"/>
      <c r="AC11" s="98"/>
      <c r="AD11" s="97">
        <f t="shared" si="0"/>
        <v>1460</v>
      </c>
      <c r="AE11" s="98"/>
    </row>
    <row r="12" spans="1:34">
      <c r="A12" s="103" t="s">
        <v>211</v>
      </c>
      <c r="B12" s="103" t="s">
        <v>282</v>
      </c>
      <c r="C12" s="103" t="s">
        <v>212</v>
      </c>
      <c r="D12" s="103">
        <v>1359</v>
      </c>
      <c r="E12" s="103">
        <v>1440</v>
      </c>
      <c r="F12" s="103">
        <v>11</v>
      </c>
      <c r="G12" s="103">
        <v>6</v>
      </c>
      <c r="H12" s="103" t="s">
        <v>333</v>
      </c>
      <c r="I12" s="103">
        <v>1449</v>
      </c>
      <c r="J12" s="103">
        <v>1473</v>
      </c>
      <c r="K12" s="103">
        <v>77</v>
      </c>
      <c r="L12" s="103">
        <v>91</v>
      </c>
      <c r="M12" s="103" t="s">
        <v>213</v>
      </c>
      <c r="N12" s="103">
        <v>1479</v>
      </c>
      <c r="O12" s="103">
        <v>1497</v>
      </c>
      <c r="P12" s="103">
        <v>79</v>
      </c>
      <c r="Q12" s="103">
        <v>89</v>
      </c>
      <c r="R12" s="103" t="s">
        <v>214</v>
      </c>
      <c r="S12" s="103">
        <v>1464</v>
      </c>
      <c r="T12" s="103">
        <v>1476</v>
      </c>
      <c r="U12" s="103">
        <v>42</v>
      </c>
      <c r="V12" s="103">
        <v>58</v>
      </c>
      <c r="W12" s="103" t="s">
        <v>215</v>
      </c>
      <c r="X12" s="103">
        <v>1446</v>
      </c>
      <c r="Y12" s="103">
        <v>1319</v>
      </c>
      <c r="Z12" s="103">
        <v>60</v>
      </c>
      <c r="AA12" s="103">
        <v>65</v>
      </c>
      <c r="AB12" s="98"/>
      <c r="AC12" s="98"/>
      <c r="AD12" s="97">
        <f t="shared" si="0"/>
        <v>1438</v>
      </c>
      <c r="AE12" s="98"/>
    </row>
    <row r="15" spans="1:34">
      <c r="AG15" s="100" t="s">
        <v>385</v>
      </c>
      <c r="AH15" s="100">
        <f>AVERAGE(AD3:AD12)</f>
        <v>1506.4</v>
      </c>
    </row>
    <row r="16" spans="1:34">
      <c r="A16" s="91" t="s">
        <v>390</v>
      </c>
      <c r="AG16" s="100" t="s">
        <v>384</v>
      </c>
      <c r="AH16" s="100">
        <f>SUM(AD3:AD12)</f>
        <v>15064</v>
      </c>
    </row>
    <row r="17" spans="1:33">
      <c r="A17" s="99" t="s">
        <v>313</v>
      </c>
      <c r="B17" s="99" t="s">
        <v>314</v>
      </c>
      <c r="C17" s="95" t="s">
        <v>315</v>
      </c>
      <c r="D17" s="94" t="s">
        <v>380</v>
      </c>
      <c r="E17" s="94" t="s">
        <v>381</v>
      </c>
      <c r="F17" s="94" t="s">
        <v>382</v>
      </c>
      <c r="G17" s="94" t="s">
        <v>369</v>
      </c>
      <c r="H17" s="95" t="s">
        <v>383</v>
      </c>
      <c r="I17" s="99" t="s">
        <v>291</v>
      </c>
      <c r="J17" s="94" t="s">
        <v>380</v>
      </c>
      <c r="K17" s="94" t="s">
        <v>381</v>
      </c>
      <c r="L17" s="94" t="s">
        <v>382</v>
      </c>
      <c r="M17" s="94" t="s">
        <v>369</v>
      </c>
      <c r="N17" s="95" t="s">
        <v>383</v>
      </c>
      <c r="O17" s="99" t="s">
        <v>316</v>
      </c>
      <c r="P17" s="94" t="s">
        <v>380</v>
      </c>
      <c r="Q17" s="94" t="s">
        <v>381</v>
      </c>
      <c r="R17" s="94" t="s">
        <v>382</v>
      </c>
      <c r="S17" s="94" t="s">
        <v>369</v>
      </c>
      <c r="T17" s="95" t="s">
        <v>383</v>
      </c>
      <c r="U17" s="99" t="s">
        <v>317</v>
      </c>
      <c r="V17" s="94" t="s">
        <v>380</v>
      </c>
      <c r="W17" s="94" t="s">
        <v>381</v>
      </c>
      <c r="X17" s="94" t="s">
        <v>382</v>
      </c>
      <c r="Y17" s="94" t="s">
        <v>369</v>
      </c>
      <c r="Z17" s="95" t="s">
        <v>383</v>
      </c>
      <c r="AA17" s="99" t="s">
        <v>295</v>
      </c>
      <c r="AB17" s="94" t="s">
        <v>380</v>
      </c>
      <c r="AC17" s="94" t="s">
        <v>381</v>
      </c>
      <c r="AD17" s="94" t="s">
        <v>382</v>
      </c>
      <c r="AE17" s="94" t="s">
        <v>369</v>
      </c>
      <c r="AF17" s="95" t="s">
        <v>383</v>
      </c>
      <c r="AG17" s="95"/>
    </row>
    <row r="18" spans="1:33">
      <c r="A18" s="96" t="str">
        <f t="shared" ref="A18:G27" si="1">A3</f>
        <v>Fnatic</v>
      </c>
      <c r="B18" s="96" t="str">
        <f t="shared" si="1"/>
        <v>FNC</v>
      </c>
      <c r="C18" s="96" t="str">
        <f t="shared" si="1"/>
        <v>sOAZ</v>
      </c>
      <c r="D18" s="93">
        <f t="shared" si="1"/>
        <v>1577</v>
      </c>
      <c r="E18" s="93">
        <f t="shared" si="1"/>
        <v>1592</v>
      </c>
      <c r="F18" s="93">
        <f t="shared" si="1"/>
        <v>179</v>
      </c>
      <c r="G18" s="93">
        <f t="shared" si="1"/>
        <v>161</v>
      </c>
      <c r="H18" s="97">
        <f t="shared" ref="H18:H27" si="2">ROUND(D3*(F3/(F3+G3))+E3*(G3/(F3+G3)),0)</f>
        <v>1584</v>
      </c>
      <c r="I18" s="96" t="str">
        <f t="shared" ref="I18:M27" si="3">H3</f>
        <v>Broxah</v>
      </c>
      <c r="J18" s="93">
        <f t="shared" si="3"/>
        <v>1580</v>
      </c>
      <c r="K18" s="93">
        <f t="shared" si="3"/>
        <v>1633</v>
      </c>
      <c r="L18" s="93">
        <f t="shared" si="3"/>
        <v>65</v>
      </c>
      <c r="M18" s="93">
        <f t="shared" si="3"/>
        <v>42</v>
      </c>
      <c r="N18" s="97">
        <f t="shared" ref="N18:N27" si="4">ROUND(I3*(K3/(K3+L3))+J3*(L3/(K3+L3)),0)</f>
        <v>1601</v>
      </c>
      <c r="O18" s="96" t="str">
        <f t="shared" ref="O18:O27" si="5">M3</f>
        <v>Caps</v>
      </c>
      <c r="P18" s="93">
        <f t="shared" ref="P18:P27" si="6">N3</f>
        <v>1580</v>
      </c>
      <c r="Q18" s="93">
        <f t="shared" ref="Q18:Q27" si="7">O3</f>
        <v>1629</v>
      </c>
      <c r="R18" s="93">
        <f t="shared" ref="R18:R27" si="8">P3</f>
        <v>67</v>
      </c>
      <c r="S18" s="93">
        <f t="shared" ref="S18:S27" si="9">Q3</f>
        <v>49</v>
      </c>
      <c r="T18" s="97">
        <f t="shared" ref="T18:T27" si="10">ROUND(N3*(P3/(P3+Q3))+O3*(Q3/(P3+Q3)),0)</f>
        <v>1601</v>
      </c>
      <c r="U18" s="96" t="str">
        <f t="shared" ref="U18:U27" si="11">R3</f>
        <v>Rekkles</v>
      </c>
      <c r="V18" s="93">
        <f t="shared" ref="V18:V27" si="12">S3</f>
        <v>1593</v>
      </c>
      <c r="W18" s="93">
        <f t="shared" ref="W18:W27" si="13">T3</f>
        <v>1583</v>
      </c>
      <c r="X18" s="93">
        <f t="shared" ref="X18:X27" si="14">U3</f>
        <v>188</v>
      </c>
      <c r="Y18" s="93">
        <f t="shared" ref="Y18:Y27" si="15">V3</f>
        <v>163</v>
      </c>
      <c r="Z18" s="97">
        <f t="shared" ref="Z18:Z27" si="16">ROUND(S3*(U3/(U3+V3))+T3*(V3/(U3+V3)),0)</f>
        <v>1588</v>
      </c>
      <c r="AA18" s="96" t="str">
        <f t="shared" ref="AA18:AA27" si="17">W3</f>
        <v>Hylissang</v>
      </c>
      <c r="AB18" s="49">
        <f t="shared" ref="AB18:AB27" si="18">X3</f>
        <v>1572</v>
      </c>
      <c r="AC18" s="49">
        <f t="shared" ref="AC18:AC27" si="19">Y3</f>
        <v>1556</v>
      </c>
      <c r="AD18" s="49">
        <f t="shared" ref="AD18:AD27" si="20">Z3</f>
        <v>121</v>
      </c>
      <c r="AE18" s="49">
        <f t="shared" ref="AE18:AE27" si="21">AA3</f>
        <v>136</v>
      </c>
      <c r="AF18" s="97">
        <f t="shared" ref="AF18:AF27" si="22">ROUND(X3*(Z3/(Z3+AA3))+Y3*(AA3/(Z3+AA3)),0)</f>
        <v>1564</v>
      </c>
      <c r="AG18" s="97"/>
    </row>
    <row r="19" spans="1:33">
      <c r="A19" s="96" t="str">
        <f t="shared" si="1"/>
        <v>Misfits</v>
      </c>
      <c r="B19" s="96" t="str">
        <f t="shared" si="1"/>
        <v>MIS</v>
      </c>
      <c r="C19" s="96" t="str">
        <f t="shared" si="1"/>
        <v>Alphari</v>
      </c>
      <c r="D19" s="93">
        <f t="shared" si="1"/>
        <v>1662</v>
      </c>
      <c r="E19" s="93">
        <f t="shared" si="1"/>
        <v>1457</v>
      </c>
      <c r="F19" s="93">
        <f t="shared" si="1"/>
        <v>59</v>
      </c>
      <c r="G19" s="93">
        <f t="shared" si="1"/>
        <v>50</v>
      </c>
      <c r="H19" s="97">
        <f t="shared" si="2"/>
        <v>1568</v>
      </c>
      <c r="I19" s="96" t="str">
        <f t="shared" si="3"/>
        <v>Maxlore</v>
      </c>
      <c r="J19" s="93">
        <f t="shared" si="3"/>
        <v>1661</v>
      </c>
      <c r="K19" s="93">
        <f t="shared" si="3"/>
        <v>1459</v>
      </c>
      <c r="L19" s="93">
        <f t="shared" si="3"/>
        <v>70</v>
      </c>
      <c r="M19" s="93">
        <f t="shared" si="3"/>
        <v>60</v>
      </c>
      <c r="N19" s="97">
        <f t="shared" si="4"/>
        <v>1568</v>
      </c>
      <c r="O19" s="96" t="str">
        <f t="shared" si="5"/>
        <v>Sencux</v>
      </c>
      <c r="P19" s="93">
        <f t="shared" si="6"/>
        <v>1568</v>
      </c>
      <c r="Q19" s="93">
        <f t="shared" si="7"/>
        <v>1455</v>
      </c>
      <c r="R19" s="93">
        <f t="shared" si="8"/>
        <v>70</v>
      </c>
      <c r="S19" s="93">
        <f t="shared" si="9"/>
        <v>82</v>
      </c>
      <c r="T19" s="97">
        <f t="shared" si="10"/>
        <v>1507</v>
      </c>
      <c r="U19" s="96" t="str">
        <f t="shared" si="11"/>
        <v>Hans sama</v>
      </c>
      <c r="V19" s="93">
        <f t="shared" si="12"/>
        <v>1662</v>
      </c>
      <c r="W19" s="93">
        <f t="shared" si="13"/>
        <v>1457</v>
      </c>
      <c r="X19" s="93">
        <f t="shared" si="14"/>
        <v>59</v>
      </c>
      <c r="Y19" s="93">
        <f t="shared" si="15"/>
        <v>50</v>
      </c>
      <c r="Z19" s="97">
        <f t="shared" si="16"/>
        <v>1568</v>
      </c>
      <c r="AA19" s="96" t="str">
        <f t="shared" si="17"/>
        <v>Mikyx</v>
      </c>
      <c r="AB19" s="49">
        <f t="shared" si="18"/>
        <v>1569</v>
      </c>
      <c r="AC19" s="49">
        <f t="shared" si="19"/>
        <v>1457</v>
      </c>
      <c r="AD19" s="49">
        <f t="shared" si="20"/>
        <v>59</v>
      </c>
      <c r="AE19" s="49">
        <f t="shared" si="21"/>
        <v>70</v>
      </c>
      <c r="AF19" s="97">
        <f t="shared" si="22"/>
        <v>1508</v>
      </c>
      <c r="AG19" s="97"/>
    </row>
    <row r="20" spans="1:33">
      <c r="A20" s="96" t="str">
        <f t="shared" si="1"/>
        <v>Vitality</v>
      </c>
      <c r="B20" s="96" t="str">
        <f t="shared" si="1"/>
        <v>VIT</v>
      </c>
      <c r="C20" s="96" t="str">
        <f t="shared" si="1"/>
        <v>Cabochard</v>
      </c>
      <c r="D20" s="93">
        <f t="shared" si="1"/>
        <v>1472</v>
      </c>
      <c r="E20" s="93">
        <f t="shared" si="1"/>
        <v>1478</v>
      </c>
      <c r="F20" s="93">
        <f t="shared" si="1"/>
        <v>79</v>
      </c>
      <c r="G20" s="93">
        <f t="shared" si="1"/>
        <v>90</v>
      </c>
      <c r="H20" s="97">
        <f t="shared" si="2"/>
        <v>1475</v>
      </c>
      <c r="I20" s="96" t="str">
        <f t="shared" si="3"/>
        <v>Gilius</v>
      </c>
      <c r="J20" s="93">
        <f t="shared" si="3"/>
        <v>1488</v>
      </c>
      <c r="K20" s="93">
        <f t="shared" si="3"/>
        <v>1571</v>
      </c>
      <c r="L20" s="93">
        <f t="shared" si="3"/>
        <v>54</v>
      </c>
      <c r="M20" s="93">
        <f t="shared" si="3"/>
        <v>64</v>
      </c>
      <c r="N20" s="97">
        <f t="shared" si="4"/>
        <v>1533</v>
      </c>
      <c r="O20" s="96" t="str">
        <f t="shared" si="5"/>
        <v>Jiizuke</v>
      </c>
      <c r="P20" s="93">
        <f t="shared" si="6"/>
        <v>1507</v>
      </c>
      <c r="Q20" s="93">
        <f t="shared" si="7"/>
        <v>1584</v>
      </c>
      <c r="R20" s="93">
        <f t="shared" si="8"/>
        <v>11</v>
      </c>
      <c r="S20" s="93">
        <f t="shared" si="9"/>
        <v>15</v>
      </c>
      <c r="T20" s="97">
        <f t="shared" si="10"/>
        <v>1551</v>
      </c>
      <c r="U20" s="96" t="str">
        <f t="shared" si="11"/>
        <v>Minitroupax</v>
      </c>
      <c r="V20" s="93">
        <f t="shared" si="12"/>
        <v>1507</v>
      </c>
      <c r="W20" s="93">
        <f t="shared" si="13"/>
        <v>1584</v>
      </c>
      <c r="X20" s="93">
        <f t="shared" si="14"/>
        <v>11</v>
      </c>
      <c r="Y20" s="93">
        <f t="shared" si="15"/>
        <v>15</v>
      </c>
      <c r="Z20" s="97">
        <f t="shared" si="16"/>
        <v>1551</v>
      </c>
      <c r="AA20" s="96" t="str">
        <f t="shared" si="17"/>
        <v>Jacktroll</v>
      </c>
      <c r="AB20" s="49">
        <f t="shared" si="18"/>
        <v>1524</v>
      </c>
      <c r="AC20" s="49">
        <f t="shared" si="19"/>
        <v>1576</v>
      </c>
      <c r="AD20" s="49">
        <f t="shared" si="20"/>
        <v>10</v>
      </c>
      <c r="AE20" s="49">
        <f t="shared" si="21"/>
        <v>14</v>
      </c>
      <c r="AF20" s="97">
        <f t="shared" si="22"/>
        <v>1554</v>
      </c>
      <c r="AG20" s="97"/>
    </row>
    <row r="21" spans="1:33">
      <c r="A21" s="96" t="str">
        <f t="shared" si="1"/>
        <v>FC Schalke 04</v>
      </c>
      <c r="B21" s="96" t="str">
        <f t="shared" si="1"/>
        <v>S04</v>
      </c>
      <c r="C21" s="96" t="str">
        <f t="shared" si="1"/>
        <v>Vizicsacsi</v>
      </c>
      <c r="D21" s="93">
        <f t="shared" si="1"/>
        <v>1568</v>
      </c>
      <c r="E21" s="93">
        <f t="shared" si="1"/>
        <v>1559</v>
      </c>
      <c r="F21" s="93">
        <f t="shared" si="1"/>
        <v>118</v>
      </c>
      <c r="G21" s="93">
        <f t="shared" si="1"/>
        <v>139</v>
      </c>
      <c r="H21" s="97">
        <f t="shared" si="2"/>
        <v>1563</v>
      </c>
      <c r="I21" s="96" t="str">
        <f t="shared" si="3"/>
        <v>Pridestalker</v>
      </c>
      <c r="J21" s="93">
        <f t="shared" si="3"/>
        <v>1384</v>
      </c>
      <c r="K21" s="93">
        <f t="shared" si="3"/>
        <v>1521</v>
      </c>
      <c r="L21" s="93">
        <f t="shared" si="3"/>
        <v>29</v>
      </c>
      <c r="M21" s="93">
        <f t="shared" si="3"/>
        <v>26</v>
      </c>
      <c r="N21" s="97">
        <f t="shared" si="4"/>
        <v>1449</v>
      </c>
      <c r="O21" s="96" t="str">
        <f t="shared" si="5"/>
        <v>Nukeduck</v>
      </c>
      <c r="P21" s="93">
        <f t="shared" si="6"/>
        <v>1450</v>
      </c>
      <c r="Q21" s="93">
        <f t="shared" si="7"/>
        <v>1460</v>
      </c>
      <c r="R21" s="93">
        <f t="shared" si="8"/>
        <v>83</v>
      </c>
      <c r="S21" s="93">
        <f t="shared" si="9"/>
        <v>88</v>
      </c>
      <c r="T21" s="97">
        <f t="shared" si="10"/>
        <v>1455</v>
      </c>
      <c r="U21" s="96" t="str">
        <f t="shared" si="11"/>
        <v>UpseT</v>
      </c>
      <c r="V21" s="93">
        <f t="shared" si="12"/>
        <v>1522</v>
      </c>
      <c r="W21" s="93">
        <f t="shared" si="13"/>
        <v>1561</v>
      </c>
      <c r="X21" s="93">
        <f t="shared" si="14"/>
        <v>24</v>
      </c>
      <c r="Y21" s="93">
        <f t="shared" si="15"/>
        <v>24</v>
      </c>
      <c r="Z21" s="97">
        <f t="shared" si="16"/>
        <v>1542</v>
      </c>
      <c r="AA21" s="96" t="str">
        <f t="shared" si="17"/>
        <v>VandeR</v>
      </c>
      <c r="AB21" s="49">
        <f t="shared" si="18"/>
        <v>1561</v>
      </c>
      <c r="AC21" s="49">
        <f t="shared" si="19"/>
        <v>1543</v>
      </c>
      <c r="AD21" s="49">
        <f t="shared" si="20"/>
        <v>132</v>
      </c>
      <c r="AE21" s="49">
        <f t="shared" si="21"/>
        <v>130</v>
      </c>
      <c r="AF21" s="97">
        <f t="shared" si="22"/>
        <v>1552</v>
      </c>
      <c r="AG21" s="97"/>
    </row>
    <row r="22" spans="1:33">
      <c r="A22" s="96" t="str">
        <f t="shared" si="1"/>
        <v>Splyce</v>
      </c>
      <c r="B22" s="96" t="str">
        <f t="shared" si="1"/>
        <v>SPY</v>
      </c>
      <c r="C22" s="96" t="str">
        <f t="shared" si="1"/>
        <v>Odoamne</v>
      </c>
      <c r="D22" s="93">
        <f t="shared" si="1"/>
        <v>1598</v>
      </c>
      <c r="E22" s="93">
        <f t="shared" si="1"/>
        <v>1567</v>
      </c>
      <c r="F22" s="93">
        <f t="shared" si="1"/>
        <v>140</v>
      </c>
      <c r="G22" s="93">
        <f t="shared" si="1"/>
        <v>110</v>
      </c>
      <c r="H22" s="97">
        <f t="shared" si="2"/>
        <v>1584</v>
      </c>
      <c r="I22" s="96" t="str">
        <f t="shared" si="3"/>
        <v>Xerxe</v>
      </c>
      <c r="J22" s="93">
        <f t="shared" si="3"/>
        <v>1505</v>
      </c>
      <c r="K22" s="93">
        <f t="shared" si="3"/>
        <v>1527</v>
      </c>
      <c r="L22" s="93">
        <f t="shared" si="3"/>
        <v>40</v>
      </c>
      <c r="M22" s="93">
        <f t="shared" si="3"/>
        <v>60</v>
      </c>
      <c r="N22" s="97">
        <f t="shared" si="4"/>
        <v>1518</v>
      </c>
      <c r="O22" s="96" t="str">
        <f t="shared" si="5"/>
        <v>Nisqy</v>
      </c>
      <c r="P22" s="93">
        <f t="shared" si="6"/>
        <v>1485</v>
      </c>
      <c r="Q22" s="93">
        <f t="shared" si="7"/>
        <v>1481</v>
      </c>
      <c r="R22" s="93">
        <f t="shared" si="8"/>
        <v>27</v>
      </c>
      <c r="S22" s="93">
        <f t="shared" si="9"/>
        <v>35</v>
      </c>
      <c r="T22" s="97">
        <f t="shared" si="10"/>
        <v>1483</v>
      </c>
      <c r="U22" s="96" t="str">
        <f t="shared" si="11"/>
        <v>Kobbe</v>
      </c>
      <c r="V22" s="93">
        <f t="shared" si="12"/>
        <v>1488</v>
      </c>
      <c r="W22" s="93">
        <f t="shared" si="13"/>
        <v>1513</v>
      </c>
      <c r="X22" s="93">
        <f t="shared" si="14"/>
        <v>68</v>
      </c>
      <c r="Y22" s="93">
        <f t="shared" si="15"/>
        <v>85</v>
      </c>
      <c r="Z22" s="97">
        <f t="shared" si="16"/>
        <v>1502</v>
      </c>
      <c r="AA22" s="96" t="str">
        <f t="shared" si="17"/>
        <v>KaSing</v>
      </c>
      <c r="AB22" s="49">
        <f t="shared" si="18"/>
        <v>1484</v>
      </c>
      <c r="AC22" s="49">
        <f t="shared" si="19"/>
        <v>1464</v>
      </c>
      <c r="AD22" s="49">
        <f t="shared" si="20"/>
        <v>88</v>
      </c>
      <c r="AE22" s="49">
        <f t="shared" si="21"/>
        <v>77</v>
      </c>
      <c r="AF22" s="97">
        <f t="shared" si="22"/>
        <v>1475</v>
      </c>
      <c r="AG22" s="97"/>
    </row>
    <row r="23" spans="1:33">
      <c r="A23" s="96" t="str">
        <f t="shared" si="1"/>
        <v>G2 Esports</v>
      </c>
      <c r="B23" s="96" t="str">
        <f t="shared" si="1"/>
        <v>G2</v>
      </c>
      <c r="C23" s="96" t="str">
        <f t="shared" si="1"/>
        <v>Wunder</v>
      </c>
      <c r="D23" s="93">
        <f t="shared" si="1"/>
        <v>1504</v>
      </c>
      <c r="E23" s="93">
        <f t="shared" si="1"/>
        <v>1450</v>
      </c>
      <c r="F23" s="93">
        <f t="shared" si="1"/>
        <v>69</v>
      </c>
      <c r="G23" s="93">
        <f t="shared" si="1"/>
        <v>84</v>
      </c>
      <c r="H23" s="97">
        <f t="shared" si="2"/>
        <v>1474</v>
      </c>
      <c r="I23" s="96" t="str">
        <f t="shared" si="3"/>
        <v>Jankos</v>
      </c>
      <c r="J23" s="93">
        <f t="shared" si="3"/>
        <v>1598</v>
      </c>
      <c r="K23" s="93">
        <f t="shared" si="3"/>
        <v>1535</v>
      </c>
      <c r="L23" s="93">
        <f t="shared" si="3"/>
        <v>165</v>
      </c>
      <c r="M23" s="93">
        <f t="shared" si="3"/>
        <v>149</v>
      </c>
      <c r="N23" s="97">
        <f t="shared" si="4"/>
        <v>1568</v>
      </c>
      <c r="O23" s="96" t="str">
        <f t="shared" si="5"/>
        <v>Perkz</v>
      </c>
      <c r="P23" s="93">
        <f t="shared" si="6"/>
        <v>1600</v>
      </c>
      <c r="Q23" s="93">
        <f t="shared" si="7"/>
        <v>1592</v>
      </c>
      <c r="R23" s="93">
        <f t="shared" si="8"/>
        <v>110</v>
      </c>
      <c r="S23" s="93">
        <f t="shared" si="9"/>
        <v>107</v>
      </c>
      <c r="T23" s="97">
        <f t="shared" si="10"/>
        <v>1596</v>
      </c>
      <c r="U23" s="96" t="str">
        <f t="shared" si="11"/>
        <v>Hjarnan</v>
      </c>
      <c r="V23" s="93">
        <f t="shared" si="12"/>
        <v>1452</v>
      </c>
      <c r="W23" s="93">
        <f t="shared" si="13"/>
        <v>1444</v>
      </c>
      <c r="X23" s="93">
        <f t="shared" si="14"/>
        <v>83</v>
      </c>
      <c r="Y23" s="93">
        <f t="shared" si="15"/>
        <v>65</v>
      </c>
      <c r="Z23" s="97">
        <f t="shared" si="16"/>
        <v>1448</v>
      </c>
      <c r="AA23" s="96" t="str">
        <f t="shared" si="17"/>
        <v>Wadid</v>
      </c>
      <c r="AB23" s="49">
        <f t="shared" si="18"/>
        <v>1437</v>
      </c>
      <c r="AC23" s="49">
        <f t="shared" si="19"/>
        <v>1427</v>
      </c>
      <c r="AD23" s="49">
        <f t="shared" si="20"/>
        <v>38</v>
      </c>
      <c r="AE23" s="49">
        <f t="shared" si="21"/>
        <v>28</v>
      </c>
      <c r="AF23" s="97">
        <f t="shared" si="22"/>
        <v>1433</v>
      </c>
      <c r="AG23" s="97"/>
    </row>
    <row r="24" spans="1:33">
      <c r="A24" s="96" t="str">
        <f t="shared" si="1"/>
        <v>Giants</v>
      </c>
      <c r="B24" s="96" t="str">
        <f t="shared" si="1"/>
        <v>GIA</v>
      </c>
      <c r="C24" s="96" t="str">
        <f t="shared" si="1"/>
        <v>Ruin</v>
      </c>
      <c r="D24" s="93">
        <f t="shared" si="1"/>
        <v>1530</v>
      </c>
      <c r="E24" s="93">
        <f t="shared" si="1"/>
        <v>1570</v>
      </c>
      <c r="F24" s="93">
        <f t="shared" si="1"/>
        <v>14</v>
      </c>
      <c r="G24" s="93">
        <f t="shared" si="1"/>
        <v>12</v>
      </c>
      <c r="H24" s="97">
        <f t="shared" si="2"/>
        <v>1548</v>
      </c>
      <c r="I24" s="96" t="str">
        <f t="shared" si="3"/>
        <v>Djoko</v>
      </c>
      <c r="J24" s="93">
        <f t="shared" si="3"/>
        <v>1490</v>
      </c>
      <c r="K24" s="93">
        <f t="shared" si="3"/>
        <v>1463</v>
      </c>
      <c r="L24" s="93">
        <f t="shared" si="3"/>
        <v>35</v>
      </c>
      <c r="M24" s="93">
        <f t="shared" si="3"/>
        <v>32</v>
      </c>
      <c r="N24" s="97">
        <f t="shared" si="4"/>
        <v>1477</v>
      </c>
      <c r="O24" s="96" t="str">
        <f t="shared" si="5"/>
        <v>Betsy</v>
      </c>
      <c r="P24" s="93">
        <f t="shared" si="6"/>
        <v>1461</v>
      </c>
      <c r="Q24" s="93">
        <f t="shared" si="7"/>
        <v>1466</v>
      </c>
      <c r="R24" s="93">
        <f t="shared" si="8"/>
        <v>84</v>
      </c>
      <c r="S24" s="93">
        <f t="shared" si="9"/>
        <v>81</v>
      </c>
      <c r="T24" s="97">
        <f t="shared" si="10"/>
        <v>1463</v>
      </c>
      <c r="U24" s="96" t="str">
        <f t="shared" si="11"/>
        <v>Steeelback</v>
      </c>
      <c r="V24" s="93">
        <f t="shared" si="12"/>
        <v>1485</v>
      </c>
      <c r="W24" s="93">
        <f t="shared" si="13"/>
        <v>1452</v>
      </c>
      <c r="X24" s="93">
        <f t="shared" si="14"/>
        <v>83</v>
      </c>
      <c r="Y24" s="93">
        <f t="shared" si="15"/>
        <v>87</v>
      </c>
      <c r="Z24" s="97">
        <f t="shared" si="16"/>
        <v>1468</v>
      </c>
      <c r="AA24" s="96" t="str">
        <f t="shared" si="17"/>
        <v>Targamas</v>
      </c>
      <c r="AB24" s="49">
        <f t="shared" si="18"/>
        <v>1563</v>
      </c>
      <c r="AC24" s="49">
        <f t="shared" si="19"/>
        <v>1527</v>
      </c>
      <c r="AD24" s="49">
        <f t="shared" si="20"/>
        <v>11</v>
      </c>
      <c r="AE24" s="49">
        <f t="shared" si="21"/>
        <v>6</v>
      </c>
      <c r="AF24" s="97">
        <f t="shared" si="22"/>
        <v>1550</v>
      </c>
      <c r="AG24" s="97"/>
    </row>
    <row r="25" spans="1:33">
      <c r="A25" s="96" t="str">
        <f t="shared" si="1"/>
        <v>H2k-Gaming</v>
      </c>
      <c r="B25" s="96" t="str">
        <f t="shared" si="1"/>
        <v>H2k</v>
      </c>
      <c r="C25" s="96" t="str">
        <f t="shared" si="1"/>
        <v>SmittyJ</v>
      </c>
      <c r="D25" s="93">
        <f t="shared" si="1"/>
        <v>1528</v>
      </c>
      <c r="E25" s="93">
        <f t="shared" si="1"/>
        <v>1541</v>
      </c>
      <c r="F25" s="93">
        <f t="shared" si="1"/>
        <v>58</v>
      </c>
      <c r="G25" s="93">
        <f t="shared" si="1"/>
        <v>57</v>
      </c>
      <c r="H25" s="97">
        <f t="shared" si="2"/>
        <v>1534</v>
      </c>
      <c r="I25" s="96" t="str">
        <f t="shared" si="3"/>
        <v>Santorin</v>
      </c>
      <c r="J25" s="93">
        <f t="shared" si="3"/>
        <v>1599</v>
      </c>
      <c r="K25" s="93">
        <f t="shared" si="3"/>
        <v>1443</v>
      </c>
      <c r="L25" s="93">
        <f t="shared" si="3"/>
        <v>88</v>
      </c>
      <c r="M25" s="93">
        <f t="shared" si="3"/>
        <v>110</v>
      </c>
      <c r="N25" s="97">
        <f t="shared" si="4"/>
        <v>1512</v>
      </c>
      <c r="O25" s="96" t="str">
        <f t="shared" si="5"/>
        <v>Caedrel</v>
      </c>
      <c r="P25" s="93">
        <f t="shared" si="6"/>
        <v>1513</v>
      </c>
      <c r="Q25" s="93">
        <f t="shared" si="7"/>
        <v>1493</v>
      </c>
      <c r="R25" s="93">
        <f t="shared" si="8"/>
        <v>17</v>
      </c>
      <c r="S25" s="93">
        <f t="shared" si="9"/>
        <v>19</v>
      </c>
      <c r="T25" s="97">
        <f t="shared" si="10"/>
        <v>1502</v>
      </c>
      <c r="U25" s="96" t="str">
        <f t="shared" si="11"/>
        <v>Sheriff</v>
      </c>
      <c r="V25" s="93">
        <f t="shared" si="12"/>
        <v>1434</v>
      </c>
      <c r="W25" s="93">
        <f t="shared" si="13"/>
        <v>1446</v>
      </c>
      <c r="X25" s="93">
        <f t="shared" si="14"/>
        <v>1</v>
      </c>
      <c r="Y25" s="93">
        <f t="shared" si="15"/>
        <v>3</v>
      </c>
      <c r="Z25" s="97">
        <f t="shared" si="16"/>
        <v>1443</v>
      </c>
      <c r="AA25" s="96" t="str">
        <f t="shared" si="17"/>
        <v>Promisq</v>
      </c>
      <c r="AB25" s="49">
        <f t="shared" si="18"/>
        <v>1306</v>
      </c>
      <c r="AC25" s="49">
        <f t="shared" si="19"/>
        <v>1435</v>
      </c>
      <c r="AD25" s="49">
        <f t="shared" si="20"/>
        <v>66</v>
      </c>
      <c r="AE25" s="49">
        <f t="shared" si="21"/>
        <v>61</v>
      </c>
      <c r="AF25" s="97">
        <f t="shared" si="22"/>
        <v>1368</v>
      </c>
      <c r="AG25" s="97"/>
    </row>
    <row r="26" spans="1:33">
      <c r="A26" s="96" t="str">
        <f t="shared" si="1"/>
        <v>ROCCAT</v>
      </c>
      <c r="B26" s="96" t="str">
        <f t="shared" si="1"/>
        <v>ROC</v>
      </c>
      <c r="C26" s="96" t="str">
        <f t="shared" si="1"/>
        <v>Profit</v>
      </c>
      <c r="D26" s="93">
        <f t="shared" si="1"/>
        <v>1379</v>
      </c>
      <c r="E26" s="93">
        <f t="shared" si="1"/>
        <v>1520</v>
      </c>
      <c r="F26" s="93">
        <f t="shared" si="1"/>
        <v>27</v>
      </c>
      <c r="G26" s="93">
        <f t="shared" si="1"/>
        <v>25</v>
      </c>
      <c r="H26" s="97">
        <f t="shared" si="2"/>
        <v>1447</v>
      </c>
      <c r="I26" s="96" t="str">
        <f t="shared" si="3"/>
        <v>Memento</v>
      </c>
      <c r="J26" s="93">
        <f t="shared" si="3"/>
        <v>1489</v>
      </c>
      <c r="K26" s="93">
        <f t="shared" si="3"/>
        <v>1503</v>
      </c>
      <c r="L26" s="93">
        <f t="shared" si="3"/>
        <v>43</v>
      </c>
      <c r="M26" s="93">
        <f t="shared" si="3"/>
        <v>51</v>
      </c>
      <c r="N26" s="97">
        <f t="shared" si="4"/>
        <v>1497</v>
      </c>
      <c r="O26" s="96" t="str">
        <f t="shared" si="5"/>
        <v>Blanc</v>
      </c>
      <c r="P26" s="93">
        <f t="shared" si="6"/>
        <v>1380</v>
      </c>
      <c r="Q26" s="93">
        <f t="shared" si="7"/>
        <v>1494</v>
      </c>
      <c r="R26" s="93">
        <f t="shared" si="8"/>
        <v>20</v>
      </c>
      <c r="S26" s="93">
        <f t="shared" si="9"/>
        <v>20</v>
      </c>
      <c r="T26" s="97">
        <f t="shared" si="10"/>
        <v>1437</v>
      </c>
      <c r="U26" s="96" t="str">
        <f t="shared" si="11"/>
        <v>HeaQ</v>
      </c>
      <c r="V26" s="93">
        <f t="shared" si="12"/>
        <v>1315</v>
      </c>
      <c r="W26" s="93">
        <f t="shared" si="13"/>
        <v>1465</v>
      </c>
      <c r="X26" s="93">
        <f t="shared" si="14"/>
        <v>42</v>
      </c>
      <c r="Y26" s="93">
        <f t="shared" si="15"/>
        <v>43</v>
      </c>
      <c r="Z26" s="97">
        <f t="shared" si="16"/>
        <v>1391</v>
      </c>
      <c r="AA26" s="96" t="str">
        <f t="shared" si="17"/>
        <v>Norskeren</v>
      </c>
      <c r="AB26" s="49">
        <f t="shared" si="18"/>
        <v>1532</v>
      </c>
      <c r="AC26" s="49">
        <f t="shared" si="19"/>
        <v>1527</v>
      </c>
      <c r="AD26" s="49">
        <f t="shared" si="20"/>
        <v>20</v>
      </c>
      <c r="AE26" s="49">
        <f t="shared" si="21"/>
        <v>21</v>
      </c>
      <c r="AF26" s="97">
        <f t="shared" si="22"/>
        <v>1529</v>
      </c>
      <c r="AG26" s="97"/>
    </row>
    <row r="27" spans="1:33">
      <c r="A27" s="96" t="str">
        <f t="shared" si="1"/>
        <v>Unicorns Of Love</v>
      </c>
      <c r="B27" s="96" t="str">
        <f t="shared" si="1"/>
        <v>UoL</v>
      </c>
      <c r="C27" s="96" t="str">
        <f t="shared" si="1"/>
        <v>Whiteknight</v>
      </c>
      <c r="D27" s="93">
        <f t="shared" si="1"/>
        <v>1359</v>
      </c>
      <c r="E27" s="93">
        <f t="shared" si="1"/>
        <v>1440</v>
      </c>
      <c r="F27" s="93">
        <f t="shared" si="1"/>
        <v>11</v>
      </c>
      <c r="G27" s="93">
        <f t="shared" si="1"/>
        <v>6</v>
      </c>
      <c r="H27" s="97">
        <f t="shared" si="2"/>
        <v>1388</v>
      </c>
      <c r="I27" s="96" t="str">
        <f t="shared" si="3"/>
        <v>Kold</v>
      </c>
      <c r="J27" s="93">
        <f t="shared" si="3"/>
        <v>1449</v>
      </c>
      <c r="K27" s="93">
        <f t="shared" si="3"/>
        <v>1473</v>
      </c>
      <c r="L27" s="93">
        <f t="shared" si="3"/>
        <v>77</v>
      </c>
      <c r="M27" s="93">
        <f t="shared" si="3"/>
        <v>91</v>
      </c>
      <c r="N27" s="97">
        <f t="shared" si="4"/>
        <v>1462</v>
      </c>
      <c r="O27" s="96" t="str">
        <f t="shared" si="5"/>
        <v>Exileh</v>
      </c>
      <c r="P27" s="93">
        <f t="shared" si="6"/>
        <v>1479</v>
      </c>
      <c r="Q27" s="93">
        <f t="shared" si="7"/>
        <v>1497</v>
      </c>
      <c r="R27" s="93">
        <f t="shared" si="8"/>
        <v>79</v>
      </c>
      <c r="S27" s="93">
        <f t="shared" si="9"/>
        <v>89</v>
      </c>
      <c r="T27" s="97">
        <f t="shared" si="10"/>
        <v>1489</v>
      </c>
      <c r="U27" s="96" t="str">
        <f t="shared" si="11"/>
        <v>Samux</v>
      </c>
      <c r="V27" s="93">
        <f t="shared" si="12"/>
        <v>1464</v>
      </c>
      <c r="W27" s="93">
        <f t="shared" si="13"/>
        <v>1476</v>
      </c>
      <c r="X27" s="93">
        <f t="shared" si="14"/>
        <v>42</v>
      </c>
      <c r="Y27" s="93">
        <f t="shared" si="15"/>
        <v>58</v>
      </c>
      <c r="Z27" s="97">
        <f t="shared" si="16"/>
        <v>1471</v>
      </c>
      <c r="AA27" s="96" t="str">
        <f t="shared" si="17"/>
        <v>Totoro</v>
      </c>
      <c r="AB27" s="49">
        <f t="shared" si="18"/>
        <v>1446</v>
      </c>
      <c r="AC27" s="49">
        <f t="shared" si="19"/>
        <v>1319</v>
      </c>
      <c r="AD27" s="49">
        <f t="shared" si="20"/>
        <v>60</v>
      </c>
      <c r="AE27" s="49">
        <f t="shared" si="21"/>
        <v>65</v>
      </c>
      <c r="AF27" s="97">
        <f t="shared" si="22"/>
        <v>1380</v>
      </c>
      <c r="AG27" s="97"/>
    </row>
    <row r="33" spans="18:32">
      <c r="R33" s="98"/>
      <c r="S33" s="67"/>
      <c r="T33" s="67"/>
      <c r="U33" s="98"/>
      <c r="V33" s="98"/>
      <c r="W33" s="98"/>
      <c r="X33" s="98"/>
      <c r="Y33" s="98"/>
      <c r="Z33" s="98"/>
      <c r="AA33" s="98"/>
      <c r="AB33" s="98"/>
      <c r="AC33" s="98"/>
      <c r="AD33" s="98"/>
      <c r="AE33" s="98"/>
      <c r="AF33" s="98"/>
    </row>
    <row r="34" spans="18:32">
      <c r="R34" s="98"/>
      <c r="S34" s="67"/>
      <c r="T34" s="67"/>
      <c r="U34" s="98"/>
      <c r="V34" s="98"/>
      <c r="W34" s="98"/>
      <c r="X34" s="67"/>
      <c r="Y34" s="67"/>
      <c r="Z34" s="67"/>
      <c r="AA34" s="67"/>
      <c r="AB34" s="98"/>
      <c r="AC34" s="67"/>
      <c r="AD34" s="67"/>
      <c r="AE34" s="67"/>
      <c r="AF34" s="67"/>
    </row>
    <row r="35" spans="18:32">
      <c r="R35" s="98"/>
      <c r="S35" s="67"/>
      <c r="T35" s="67"/>
      <c r="U35" s="98"/>
      <c r="V35" s="98"/>
      <c r="W35" s="98"/>
      <c r="X35" s="67"/>
      <c r="Y35" s="67"/>
      <c r="Z35" s="67"/>
      <c r="AA35" s="67"/>
      <c r="AB35" s="98"/>
      <c r="AC35" s="67"/>
      <c r="AD35" s="67"/>
      <c r="AE35" s="67"/>
      <c r="AF35" s="67"/>
    </row>
    <row r="36" spans="18:32">
      <c r="R36" s="98"/>
      <c r="S36" s="67"/>
      <c r="T36" s="67"/>
      <c r="U36" s="98"/>
      <c r="V36" s="98"/>
      <c r="W36" s="98"/>
      <c r="X36" s="67"/>
      <c r="Y36" s="67"/>
      <c r="Z36" s="67"/>
      <c r="AA36" s="67"/>
      <c r="AB36" s="98"/>
      <c r="AC36" s="67"/>
      <c r="AD36" s="67"/>
      <c r="AE36" s="67"/>
      <c r="AF36" s="67"/>
    </row>
    <row r="37" spans="18:32">
      <c r="R37" s="98"/>
      <c r="S37" s="67"/>
      <c r="T37" s="67"/>
      <c r="U37" s="98"/>
      <c r="V37" s="98"/>
      <c r="W37" s="98"/>
      <c r="X37" s="67"/>
      <c r="Y37" s="67"/>
      <c r="Z37" s="67"/>
      <c r="AA37" s="67"/>
      <c r="AB37" s="98"/>
      <c r="AC37" s="67"/>
      <c r="AD37" s="67"/>
      <c r="AE37" s="67"/>
      <c r="AF37" s="67"/>
    </row>
    <row r="38" spans="18:32">
      <c r="R38" s="98"/>
      <c r="S38" s="67"/>
      <c r="T38" s="67"/>
      <c r="U38" s="98"/>
      <c r="V38" s="98"/>
      <c r="W38" s="98"/>
      <c r="X38" s="67"/>
      <c r="Y38" s="67"/>
      <c r="Z38" s="67"/>
      <c r="AA38" s="67"/>
      <c r="AB38" s="98"/>
      <c r="AC38" s="67"/>
      <c r="AD38" s="67"/>
      <c r="AE38" s="67"/>
      <c r="AF38" s="67"/>
    </row>
    <row r="39" spans="18:32">
      <c r="R39" s="98"/>
      <c r="S39" s="67"/>
      <c r="T39" s="67"/>
      <c r="U39" s="98"/>
      <c r="V39" s="98"/>
      <c r="W39" s="98"/>
      <c r="X39" s="67"/>
      <c r="Y39" s="67"/>
      <c r="Z39" s="67"/>
      <c r="AA39" s="67"/>
      <c r="AB39" s="98"/>
      <c r="AC39" s="67"/>
      <c r="AD39" s="67"/>
      <c r="AE39" s="67"/>
      <c r="AF39" s="67"/>
    </row>
    <row r="40" spans="18:32">
      <c r="R40" s="98"/>
      <c r="S40" s="67"/>
      <c r="T40" s="67"/>
      <c r="U40" s="98"/>
      <c r="V40" s="98"/>
      <c r="W40" s="98"/>
      <c r="X40" s="67"/>
      <c r="Y40" s="67"/>
      <c r="Z40" s="67"/>
      <c r="AA40" s="67"/>
      <c r="AB40" s="98"/>
      <c r="AC40" s="67"/>
      <c r="AD40" s="67"/>
      <c r="AE40" s="67"/>
      <c r="AF40" s="67"/>
    </row>
    <row r="41" spans="18:32">
      <c r="R41" s="98"/>
      <c r="S41" s="67"/>
      <c r="T41" s="67"/>
      <c r="U41" s="98"/>
      <c r="V41" s="98"/>
      <c r="W41" s="98"/>
      <c r="X41" s="67"/>
      <c r="Y41" s="67"/>
      <c r="Z41" s="67"/>
      <c r="AA41" s="67"/>
      <c r="AB41" s="98"/>
      <c r="AC41" s="67"/>
      <c r="AD41" s="67"/>
      <c r="AE41" s="67"/>
      <c r="AF41" s="67"/>
    </row>
    <row r="42" spans="18:32">
      <c r="R42" s="98"/>
      <c r="S42" s="67"/>
      <c r="T42" s="67"/>
      <c r="U42" s="98"/>
      <c r="V42" s="98"/>
      <c r="W42" s="98"/>
      <c r="X42" s="67"/>
      <c r="Y42" s="67"/>
      <c r="Z42" s="67"/>
      <c r="AA42" s="67"/>
      <c r="AB42" s="98"/>
      <c r="AC42" s="67"/>
      <c r="AD42" s="67"/>
      <c r="AE42" s="67"/>
      <c r="AF42" s="67"/>
    </row>
    <row r="43" spans="18:32">
      <c r="R43" s="98"/>
      <c r="S43" s="98"/>
      <c r="T43" s="98"/>
      <c r="U43" s="98"/>
      <c r="V43" s="98"/>
      <c r="W43" s="98"/>
      <c r="X43" s="67"/>
      <c r="Y43" s="67"/>
      <c r="Z43" s="67"/>
      <c r="AA43" s="67"/>
      <c r="AB43" s="98"/>
      <c r="AC43" s="67"/>
      <c r="AD43" s="67"/>
      <c r="AE43" s="67"/>
      <c r="AF43" s="67"/>
    </row>
  </sheetData>
  <autoFilter ref="A2:AD12" xr:uid="{00000000-0009-0000-0000-000002000000}">
    <sortState ref="A3:AD12">
      <sortCondition descending="1" ref="AD2:AD12"/>
    </sortState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2:AA11"/>
  <sheetViews>
    <sheetView workbookViewId="0">
      <selection activeCell="K30" sqref="K30"/>
    </sheetView>
  </sheetViews>
  <sheetFormatPr defaultColWidth="10.875" defaultRowHeight="15.75"/>
  <cols>
    <col min="1" max="1" width="17.5" style="91" bestFit="1" customWidth="1"/>
    <col min="2" max="2" width="5" style="91" bestFit="1" customWidth="1"/>
    <col min="3" max="3" width="9.125" style="91" bestFit="1" customWidth="1"/>
    <col min="4" max="5" width="5.125" style="91" bestFit="1" customWidth="1"/>
    <col min="6" max="7" width="4.125" style="91" bestFit="1" customWidth="1"/>
    <col min="8" max="8" width="10.625" style="91" bestFit="1" customWidth="1"/>
    <col min="9" max="10" width="5.125" style="91" bestFit="1" customWidth="1"/>
    <col min="11" max="12" width="4.125" style="91" bestFit="1" customWidth="1"/>
    <col min="13" max="13" width="6.5" style="91" bestFit="1" customWidth="1"/>
    <col min="14" max="15" width="5.125" style="91" bestFit="1" customWidth="1"/>
    <col min="16" max="17" width="4.125" style="91" bestFit="1" customWidth="1"/>
    <col min="18" max="18" width="9" style="91" bestFit="1" customWidth="1"/>
    <col min="19" max="20" width="5.125" style="91" bestFit="1" customWidth="1"/>
    <col min="21" max="22" width="4.125" style="91" customWidth="1"/>
    <col min="23" max="23" width="7.375" style="91" bestFit="1" customWidth="1"/>
    <col min="24" max="25" width="5.125" style="91" bestFit="1" customWidth="1"/>
    <col min="26" max="27" width="4.125" style="91" customWidth="1"/>
    <col min="28" max="16384" width="10.875" style="91"/>
  </cols>
  <sheetData>
    <row r="2" spans="1:27">
      <c r="A2" s="92" t="s">
        <v>313</v>
      </c>
      <c r="B2" s="92" t="s">
        <v>314</v>
      </c>
      <c r="C2" s="92" t="s">
        <v>315</v>
      </c>
      <c r="D2" s="92"/>
      <c r="E2" s="92"/>
      <c r="F2" s="92" t="s">
        <v>291</v>
      </c>
      <c r="G2" s="92"/>
      <c r="H2" s="92"/>
      <c r="I2" s="92" t="s">
        <v>316</v>
      </c>
      <c r="J2" s="92"/>
      <c r="K2" s="92"/>
      <c r="L2" s="92" t="s">
        <v>317</v>
      </c>
      <c r="M2" s="92"/>
      <c r="N2" s="92"/>
      <c r="O2" s="92" t="s">
        <v>295</v>
      </c>
      <c r="P2" s="92"/>
      <c r="Q2" s="92"/>
      <c r="R2" s="92"/>
      <c r="S2" s="92"/>
      <c r="T2" s="92"/>
      <c r="U2" s="92"/>
      <c r="V2" s="92"/>
      <c r="W2" s="92"/>
      <c r="X2" s="92"/>
      <c r="Y2" s="92"/>
      <c r="Z2" s="92"/>
      <c r="AA2" s="92"/>
    </row>
    <row r="3" spans="1:27">
      <c r="A3" s="93" t="s">
        <v>2</v>
      </c>
      <c r="B3" s="93" t="s">
        <v>3</v>
      </c>
      <c r="C3" s="93" t="s">
        <v>4</v>
      </c>
      <c r="D3" s="93">
        <v>1515</v>
      </c>
      <c r="E3" s="93">
        <v>1505</v>
      </c>
      <c r="F3" s="93">
        <v>29</v>
      </c>
      <c r="G3" s="93">
        <v>29</v>
      </c>
      <c r="H3" s="93" t="s">
        <v>5</v>
      </c>
      <c r="I3" s="93">
        <v>1514</v>
      </c>
      <c r="J3" s="93">
        <v>1531</v>
      </c>
      <c r="K3" s="93">
        <v>47</v>
      </c>
      <c r="L3" s="93">
        <v>52</v>
      </c>
      <c r="M3" s="93" t="s">
        <v>343</v>
      </c>
      <c r="N3" s="93">
        <v>1435</v>
      </c>
      <c r="O3" s="93">
        <v>1478</v>
      </c>
      <c r="P3" s="93">
        <v>6</v>
      </c>
      <c r="Q3" s="93">
        <v>3</v>
      </c>
      <c r="R3" s="93" t="s">
        <v>6</v>
      </c>
      <c r="S3" s="93">
        <v>1513</v>
      </c>
      <c r="T3" s="93">
        <v>1525</v>
      </c>
      <c r="U3" s="93">
        <v>52</v>
      </c>
      <c r="V3" s="93">
        <v>55</v>
      </c>
      <c r="W3" s="93" t="s">
        <v>7</v>
      </c>
      <c r="X3" s="93">
        <v>1503</v>
      </c>
      <c r="Y3" s="93">
        <v>1564</v>
      </c>
      <c r="Z3" s="93">
        <v>88</v>
      </c>
      <c r="AA3" s="93">
        <v>81</v>
      </c>
    </row>
    <row r="4" spans="1:27">
      <c r="A4" s="93" t="s">
        <v>8</v>
      </c>
      <c r="B4" s="93" t="s">
        <v>9</v>
      </c>
      <c r="C4" s="93" t="s">
        <v>10</v>
      </c>
      <c r="D4" s="93">
        <v>1537</v>
      </c>
      <c r="E4" s="93">
        <v>1353</v>
      </c>
      <c r="F4" s="93">
        <v>89</v>
      </c>
      <c r="G4" s="93">
        <v>92</v>
      </c>
      <c r="H4" s="93" t="s">
        <v>11</v>
      </c>
      <c r="I4" s="93">
        <v>1621</v>
      </c>
      <c r="J4" s="93">
        <v>1578</v>
      </c>
      <c r="K4" s="93">
        <v>116</v>
      </c>
      <c r="L4" s="93">
        <v>108</v>
      </c>
      <c r="M4" s="93" t="s">
        <v>12</v>
      </c>
      <c r="N4" s="93">
        <v>1535</v>
      </c>
      <c r="O4" s="93">
        <v>1347</v>
      </c>
      <c r="P4" s="93">
        <v>86</v>
      </c>
      <c r="Q4" s="93">
        <v>92</v>
      </c>
      <c r="R4" s="93" t="s">
        <v>13</v>
      </c>
      <c r="S4" s="93">
        <v>1532</v>
      </c>
      <c r="T4" s="93">
        <v>1350</v>
      </c>
      <c r="U4" s="93">
        <v>54</v>
      </c>
      <c r="V4" s="93">
        <v>64</v>
      </c>
      <c r="W4" s="93" t="s">
        <v>14</v>
      </c>
      <c r="X4" s="93">
        <v>1617</v>
      </c>
      <c r="Y4" s="93">
        <v>1448</v>
      </c>
      <c r="Z4" s="93">
        <v>83</v>
      </c>
      <c r="AA4" s="93">
        <v>79</v>
      </c>
    </row>
    <row r="5" spans="1:27">
      <c r="A5" s="93" t="s">
        <v>27</v>
      </c>
      <c r="B5" s="93" t="s">
        <v>28</v>
      </c>
      <c r="C5" s="93" t="s">
        <v>29</v>
      </c>
      <c r="D5" s="93">
        <v>1710</v>
      </c>
      <c r="E5" s="93">
        <v>1616</v>
      </c>
      <c r="F5" s="93">
        <v>183</v>
      </c>
      <c r="G5" s="93">
        <v>165</v>
      </c>
      <c r="H5" s="93" t="s">
        <v>30</v>
      </c>
      <c r="I5" s="93">
        <v>1700</v>
      </c>
      <c r="J5" s="93">
        <v>1599</v>
      </c>
      <c r="K5" s="93">
        <v>184</v>
      </c>
      <c r="L5" s="93">
        <v>162</v>
      </c>
      <c r="M5" s="93" t="s">
        <v>31</v>
      </c>
      <c r="N5" s="93">
        <v>1716</v>
      </c>
      <c r="O5" s="93">
        <v>1606</v>
      </c>
      <c r="P5" s="93">
        <v>149</v>
      </c>
      <c r="Q5" s="93">
        <v>145</v>
      </c>
      <c r="R5" s="93" t="s">
        <v>32</v>
      </c>
      <c r="S5" s="93">
        <v>1724</v>
      </c>
      <c r="T5" s="93">
        <v>1605</v>
      </c>
      <c r="U5" s="93">
        <v>191</v>
      </c>
      <c r="V5" s="93">
        <v>175</v>
      </c>
      <c r="W5" s="93" t="s">
        <v>33</v>
      </c>
      <c r="X5" s="93">
        <v>1710</v>
      </c>
      <c r="Y5" s="93">
        <v>1591</v>
      </c>
      <c r="Z5" s="93">
        <v>194</v>
      </c>
      <c r="AA5" s="93">
        <v>185</v>
      </c>
    </row>
    <row r="6" spans="1:27">
      <c r="A6" s="93" t="s">
        <v>276</v>
      </c>
      <c r="B6" s="93" t="s">
        <v>277</v>
      </c>
      <c r="C6" s="93" t="s">
        <v>278</v>
      </c>
      <c r="D6" s="93">
        <v>1482</v>
      </c>
      <c r="E6" s="93">
        <v>1432</v>
      </c>
      <c r="F6" s="93">
        <v>46</v>
      </c>
      <c r="G6" s="93">
        <v>43</v>
      </c>
      <c r="H6" s="93" t="s">
        <v>341</v>
      </c>
      <c r="I6" s="93">
        <v>1446</v>
      </c>
      <c r="J6" s="93">
        <v>1450</v>
      </c>
      <c r="K6" s="93">
        <v>47</v>
      </c>
      <c r="L6" s="93">
        <v>37</v>
      </c>
      <c r="M6" s="93" t="s">
        <v>340</v>
      </c>
      <c r="N6" s="93">
        <v>1474</v>
      </c>
      <c r="O6" s="93">
        <v>1428</v>
      </c>
      <c r="P6" s="93">
        <v>20</v>
      </c>
      <c r="Q6" s="93">
        <v>18</v>
      </c>
      <c r="R6" s="93" t="s">
        <v>279</v>
      </c>
      <c r="S6" s="93">
        <v>1502</v>
      </c>
      <c r="T6" s="93">
        <v>1441</v>
      </c>
      <c r="U6" s="93">
        <v>124</v>
      </c>
      <c r="V6" s="93">
        <v>130</v>
      </c>
      <c r="W6" s="93" t="s">
        <v>330</v>
      </c>
      <c r="X6" s="93">
        <v>1496</v>
      </c>
      <c r="Y6" s="93">
        <v>1417</v>
      </c>
      <c r="Z6" s="93">
        <v>86</v>
      </c>
      <c r="AA6" s="93">
        <v>85</v>
      </c>
    </row>
    <row r="7" spans="1:27">
      <c r="A7" s="93" t="s">
        <v>95</v>
      </c>
      <c r="B7" s="93" t="s">
        <v>96</v>
      </c>
      <c r="C7" s="93" t="s">
        <v>97</v>
      </c>
      <c r="D7" s="93">
        <v>1482</v>
      </c>
      <c r="E7" s="93">
        <v>1503</v>
      </c>
      <c r="F7" s="93">
        <v>22</v>
      </c>
      <c r="G7" s="93">
        <v>24</v>
      </c>
      <c r="H7" s="93" t="s">
        <v>98</v>
      </c>
      <c r="I7" s="93">
        <v>1598</v>
      </c>
      <c r="J7" s="93">
        <v>1523</v>
      </c>
      <c r="K7" s="93">
        <v>158</v>
      </c>
      <c r="L7" s="93">
        <v>148</v>
      </c>
      <c r="M7" s="93" t="s">
        <v>99</v>
      </c>
      <c r="N7" s="93">
        <v>1616</v>
      </c>
      <c r="O7" s="93">
        <v>1598</v>
      </c>
      <c r="P7" s="93">
        <v>169</v>
      </c>
      <c r="Q7" s="93">
        <v>155</v>
      </c>
      <c r="R7" s="93" t="s">
        <v>100</v>
      </c>
      <c r="S7" s="93">
        <v>1591</v>
      </c>
      <c r="T7" s="93">
        <v>1524</v>
      </c>
      <c r="U7" s="93">
        <v>113</v>
      </c>
      <c r="V7" s="93">
        <v>110</v>
      </c>
      <c r="W7" s="93" t="s">
        <v>101</v>
      </c>
      <c r="X7" s="93">
        <v>1573</v>
      </c>
      <c r="Y7" s="93">
        <v>1542</v>
      </c>
      <c r="Z7" s="93">
        <v>83</v>
      </c>
      <c r="AA7" s="93">
        <v>78</v>
      </c>
    </row>
    <row r="8" spans="1:27">
      <c r="A8" s="93" t="s">
        <v>102</v>
      </c>
      <c r="B8" s="93" t="s">
        <v>102</v>
      </c>
      <c r="C8" s="93" t="s">
        <v>103</v>
      </c>
      <c r="D8" s="93">
        <v>1397</v>
      </c>
      <c r="E8" s="93">
        <v>1469</v>
      </c>
      <c r="F8" s="93">
        <v>77</v>
      </c>
      <c r="G8" s="93">
        <v>86</v>
      </c>
      <c r="H8" s="93" t="s">
        <v>104</v>
      </c>
      <c r="I8" s="93">
        <v>1397</v>
      </c>
      <c r="J8" s="93">
        <v>1469</v>
      </c>
      <c r="K8" s="93">
        <v>77</v>
      </c>
      <c r="L8" s="93">
        <v>86</v>
      </c>
      <c r="M8" s="93" t="s">
        <v>105</v>
      </c>
      <c r="N8" s="93">
        <v>1397</v>
      </c>
      <c r="O8" s="93">
        <v>1469</v>
      </c>
      <c r="P8" s="93">
        <v>77</v>
      </c>
      <c r="Q8" s="93">
        <v>86</v>
      </c>
      <c r="R8" s="93" t="s">
        <v>379</v>
      </c>
      <c r="S8" s="93">
        <v>1458</v>
      </c>
      <c r="T8" s="93">
        <v>1425</v>
      </c>
      <c r="U8" s="93">
        <v>86</v>
      </c>
      <c r="V8" s="93">
        <v>93</v>
      </c>
      <c r="W8" s="93" t="s">
        <v>328</v>
      </c>
      <c r="X8" s="93">
        <v>1396</v>
      </c>
      <c r="Y8" s="93">
        <v>1473</v>
      </c>
      <c r="Z8" s="93">
        <v>80</v>
      </c>
      <c r="AA8" s="93">
        <v>88</v>
      </c>
    </row>
    <row r="9" spans="1:27">
      <c r="A9" s="93" t="s">
        <v>174</v>
      </c>
      <c r="B9" s="93" t="s">
        <v>175</v>
      </c>
      <c r="C9" s="93" t="s">
        <v>176</v>
      </c>
      <c r="D9" s="93">
        <v>1492</v>
      </c>
      <c r="E9" s="93">
        <v>1394</v>
      </c>
      <c r="F9" s="93">
        <v>44</v>
      </c>
      <c r="G9" s="93">
        <v>49</v>
      </c>
      <c r="H9" s="93" t="s">
        <v>177</v>
      </c>
      <c r="I9" s="93">
        <v>1517</v>
      </c>
      <c r="J9" s="93">
        <v>1415</v>
      </c>
      <c r="K9" s="93">
        <v>11</v>
      </c>
      <c r="L9" s="93">
        <v>8</v>
      </c>
      <c r="M9" s="93" t="s">
        <v>178</v>
      </c>
      <c r="N9" s="93">
        <v>1480</v>
      </c>
      <c r="O9" s="93">
        <v>1384</v>
      </c>
      <c r="P9" s="93">
        <v>66</v>
      </c>
      <c r="Q9" s="93">
        <v>76</v>
      </c>
      <c r="R9" s="93" t="s">
        <v>179</v>
      </c>
      <c r="S9" s="93">
        <v>1480</v>
      </c>
      <c r="T9" s="93">
        <v>1384</v>
      </c>
      <c r="U9" s="93">
        <v>62</v>
      </c>
      <c r="V9" s="93">
        <v>70</v>
      </c>
      <c r="W9" s="93" t="s">
        <v>180</v>
      </c>
      <c r="X9" s="93">
        <v>1439</v>
      </c>
      <c r="Y9" s="93">
        <v>1335</v>
      </c>
      <c r="Z9" s="93">
        <v>49</v>
      </c>
      <c r="AA9" s="93">
        <v>52</v>
      </c>
    </row>
    <row r="10" spans="1:27">
      <c r="A10" s="93" t="s">
        <v>181</v>
      </c>
      <c r="B10" s="93" t="s">
        <v>182</v>
      </c>
      <c r="C10" s="93" t="s">
        <v>377</v>
      </c>
      <c r="D10" s="93">
        <v>1500</v>
      </c>
      <c r="E10" s="93">
        <v>1357</v>
      </c>
      <c r="F10" s="93">
        <v>10</v>
      </c>
      <c r="G10" s="93">
        <v>12</v>
      </c>
      <c r="H10" s="93" t="s">
        <v>339</v>
      </c>
      <c r="I10" s="93">
        <v>1691</v>
      </c>
      <c r="J10" s="93">
        <v>1614</v>
      </c>
      <c r="K10" s="93">
        <v>71</v>
      </c>
      <c r="L10" s="93">
        <v>92</v>
      </c>
      <c r="M10" s="93" t="s">
        <v>183</v>
      </c>
      <c r="N10" s="93">
        <v>1696</v>
      </c>
      <c r="O10" s="93">
        <v>1617</v>
      </c>
      <c r="P10" s="93">
        <v>197</v>
      </c>
      <c r="Q10" s="93">
        <v>208</v>
      </c>
      <c r="R10" s="93" t="s">
        <v>184</v>
      </c>
      <c r="S10" s="93">
        <v>1695</v>
      </c>
      <c r="T10" s="93">
        <v>1610</v>
      </c>
      <c r="U10" s="93">
        <v>201</v>
      </c>
      <c r="V10" s="93">
        <v>216</v>
      </c>
      <c r="W10" s="93" t="s">
        <v>378</v>
      </c>
      <c r="X10" s="93">
        <v>1720</v>
      </c>
      <c r="Y10" s="93">
        <v>1681</v>
      </c>
      <c r="Z10" s="93">
        <v>189</v>
      </c>
      <c r="AA10" s="93">
        <v>198</v>
      </c>
    </row>
    <row r="11" spans="1:27">
      <c r="A11" s="93" t="s">
        <v>352</v>
      </c>
      <c r="B11" s="93" t="s">
        <v>162</v>
      </c>
      <c r="C11" s="93" t="s">
        <v>163</v>
      </c>
      <c r="D11" s="93">
        <v>1706</v>
      </c>
      <c r="E11" s="93">
        <v>1654</v>
      </c>
      <c r="F11" s="93">
        <v>173</v>
      </c>
      <c r="G11" s="93">
        <v>160</v>
      </c>
      <c r="H11" s="93" t="s">
        <v>164</v>
      </c>
      <c r="I11" s="93">
        <v>1722</v>
      </c>
      <c r="J11" s="93">
        <v>1661</v>
      </c>
      <c r="K11" s="93">
        <v>157</v>
      </c>
      <c r="L11" s="93">
        <v>146</v>
      </c>
      <c r="M11" s="93" t="s">
        <v>165</v>
      </c>
      <c r="N11" s="93">
        <v>1732</v>
      </c>
      <c r="O11" s="93">
        <v>1655</v>
      </c>
      <c r="P11" s="93">
        <v>154</v>
      </c>
      <c r="Q11" s="93">
        <v>143</v>
      </c>
      <c r="R11" s="93" t="s">
        <v>166</v>
      </c>
      <c r="S11" s="93">
        <v>1737</v>
      </c>
      <c r="T11" s="93">
        <v>1664</v>
      </c>
      <c r="U11" s="93">
        <v>103</v>
      </c>
      <c r="V11" s="93">
        <v>101</v>
      </c>
      <c r="W11" s="93" t="s">
        <v>167</v>
      </c>
      <c r="X11" s="93">
        <v>1747</v>
      </c>
      <c r="Y11" s="93">
        <v>1694</v>
      </c>
      <c r="Z11" s="93">
        <v>84</v>
      </c>
      <c r="AA11" s="93">
        <v>77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AV123"/>
  <sheetViews>
    <sheetView workbookViewId="0"/>
  </sheetViews>
  <sheetFormatPr defaultColWidth="11" defaultRowHeight="15.75"/>
  <cols>
    <col min="1" max="1" width="23.625" bestFit="1" customWidth="1"/>
    <col min="2" max="2" width="6" bestFit="1" customWidth="1"/>
    <col min="3" max="3" width="11.625" bestFit="1" customWidth="1"/>
    <col min="4" max="4" width="5.375" style="3" bestFit="1" customWidth="1"/>
    <col min="5" max="5" width="3.875" bestFit="1" customWidth="1"/>
    <col min="6" max="6" width="10.125" bestFit="1" customWidth="1"/>
    <col min="7" max="7" width="4.875" bestFit="1" customWidth="1"/>
    <col min="8" max="8" width="3.875" bestFit="1" customWidth="1"/>
    <col min="9" max="9" width="10.75" bestFit="1" customWidth="1"/>
    <col min="10" max="10" width="4.875" bestFit="1" customWidth="1"/>
    <col min="11" max="11" width="3.875" bestFit="1" customWidth="1"/>
    <col min="12" max="12" width="9.875" bestFit="1" customWidth="1"/>
    <col min="13" max="13" width="4.875" bestFit="1" customWidth="1"/>
    <col min="14" max="14" width="3.875" bestFit="1" customWidth="1"/>
    <col min="15" max="15" width="11.125" bestFit="1" customWidth="1"/>
    <col min="16" max="16" width="4.875" bestFit="1" customWidth="1"/>
    <col min="17" max="17" width="3.875" bestFit="1" customWidth="1"/>
    <col min="18" max="18" width="11" bestFit="1" customWidth="1"/>
    <col min="19" max="20" width="5.125" bestFit="1" customWidth="1"/>
    <col min="21" max="22" width="4.125" customWidth="1"/>
    <col min="23" max="23" width="12.125" bestFit="1" customWidth="1"/>
    <col min="24" max="25" width="5.125" bestFit="1" customWidth="1"/>
    <col min="26" max="27" width="4.125" customWidth="1"/>
    <col min="28" max="28" width="11" bestFit="1" customWidth="1"/>
    <col min="29" max="30" width="5.125" bestFit="1" customWidth="1"/>
    <col min="31" max="31" width="4.125" bestFit="1" customWidth="1"/>
    <col min="32" max="32" width="4.125" customWidth="1"/>
    <col min="33" max="33" width="12.125" bestFit="1" customWidth="1"/>
    <col min="34" max="35" width="5.125" bestFit="1" customWidth="1"/>
    <col min="36" max="36" width="4.125" bestFit="1" customWidth="1"/>
    <col min="37" max="37" width="4.125" customWidth="1"/>
    <col min="38" max="38" width="7.875" customWidth="1"/>
    <col min="39" max="39" width="5.625" style="3" customWidth="1"/>
    <col min="40" max="40" width="4.125" customWidth="1"/>
    <col min="41" max="41" width="8.875" customWidth="1"/>
    <col min="42" max="42" width="5.625" style="3" customWidth="1"/>
    <col min="43" max="43" width="4.125" customWidth="1"/>
    <col min="44" max="44" width="10.125" customWidth="1"/>
    <col min="45" max="45" width="5.625" style="3" customWidth="1"/>
    <col min="46" max="46" width="4.125" customWidth="1"/>
    <col min="47" max="47" width="8.625" customWidth="1"/>
    <col min="48" max="48" width="5.625" style="3" customWidth="1"/>
    <col min="49" max="49" width="4.125" customWidth="1"/>
    <col min="50" max="50" width="5.125" customWidth="1"/>
    <col min="51" max="51" width="2.125" customWidth="1"/>
    <col min="52" max="52" width="4.125" customWidth="1"/>
    <col min="53" max="53" width="13" customWidth="1"/>
    <col min="54" max="54" width="5.125" customWidth="1"/>
    <col min="55" max="55" width="2.125" customWidth="1"/>
    <col min="56" max="56" width="12.875" bestFit="1" customWidth="1"/>
    <col min="57" max="57" width="12.125" bestFit="1" customWidth="1"/>
    <col min="58" max="58" width="19.625" bestFit="1" customWidth="1"/>
    <col min="59" max="59" width="12.125" bestFit="1" customWidth="1"/>
    <col min="60" max="60" width="11.375" bestFit="1" customWidth="1"/>
    <col min="61" max="61" width="20.125" bestFit="1" customWidth="1"/>
    <col min="62" max="62" width="12.875" bestFit="1" customWidth="1"/>
    <col min="63" max="63" width="11.125" bestFit="1" customWidth="1"/>
    <col min="64" max="65" width="12.125" bestFit="1" customWidth="1"/>
    <col min="66" max="66" width="12.875" bestFit="1" customWidth="1"/>
    <col min="67" max="67" width="19" bestFit="1" customWidth="1"/>
    <col min="68" max="68" width="12.875" bestFit="1" customWidth="1"/>
    <col min="69" max="69" width="19.625" bestFit="1" customWidth="1"/>
    <col min="70" max="71" width="12.125" bestFit="1" customWidth="1"/>
    <col min="72" max="73" width="12.875" bestFit="1" customWidth="1"/>
    <col min="74" max="74" width="11.375" bestFit="1" customWidth="1"/>
    <col min="75" max="76" width="12.125" bestFit="1" customWidth="1"/>
    <col min="77" max="78" width="12.875" bestFit="1" customWidth="1"/>
    <col min="79" max="79" width="11.375" bestFit="1" customWidth="1"/>
    <col min="80" max="80" width="19" bestFit="1" customWidth="1"/>
    <col min="81" max="81" width="12.125" bestFit="1" customWidth="1"/>
    <col min="82" max="82" width="10.625" bestFit="1" customWidth="1"/>
    <col min="83" max="83" width="12.875" bestFit="1" customWidth="1"/>
    <col min="84" max="84" width="11" bestFit="1" customWidth="1"/>
    <col min="85" max="85" width="11.375" bestFit="1" customWidth="1"/>
    <col min="86" max="86" width="12.125" bestFit="1" customWidth="1"/>
    <col min="87" max="87" width="10.625" bestFit="1" customWidth="1"/>
    <col min="88" max="88" width="12.875" bestFit="1" customWidth="1"/>
    <col min="89" max="89" width="11" bestFit="1" customWidth="1"/>
    <col min="90" max="90" width="11.375" bestFit="1" customWidth="1"/>
    <col min="91" max="91" width="20.125" bestFit="1" customWidth="1"/>
    <col min="92" max="95" width="4.625" bestFit="1" customWidth="1"/>
  </cols>
  <sheetData>
    <row r="1" spans="1:48">
      <c r="A1" t="s">
        <v>66</v>
      </c>
      <c r="B1">
        <v>100</v>
      </c>
      <c r="C1" t="s">
        <v>67</v>
      </c>
      <c r="D1" s="2">
        <v>1637</v>
      </c>
      <c r="E1">
        <v>370</v>
      </c>
      <c r="F1" t="s">
        <v>208</v>
      </c>
      <c r="G1">
        <v>1516</v>
      </c>
      <c r="H1">
        <v>35</v>
      </c>
      <c r="I1" t="s">
        <v>69</v>
      </c>
      <c r="J1">
        <v>1626</v>
      </c>
      <c r="K1">
        <v>317</v>
      </c>
      <c r="L1" t="s">
        <v>70</v>
      </c>
      <c r="M1">
        <v>1643</v>
      </c>
      <c r="N1">
        <v>161</v>
      </c>
      <c r="O1" t="s">
        <v>71</v>
      </c>
      <c r="P1">
        <v>1640</v>
      </c>
      <c r="Q1">
        <v>412</v>
      </c>
      <c r="AM1"/>
      <c r="AP1"/>
      <c r="AS1"/>
      <c r="AV1"/>
    </row>
    <row r="2" spans="1:48">
      <c r="A2" t="s">
        <v>541</v>
      </c>
      <c r="B2" t="s">
        <v>542</v>
      </c>
      <c r="C2" t="s">
        <v>543</v>
      </c>
      <c r="D2" s="2">
        <v>1461</v>
      </c>
      <c r="E2">
        <v>76</v>
      </c>
      <c r="F2" t="s">
        <v>544</v>
      </c>
      <c r="G2">
        <v>1499</v>
      </c>
      <c r="H2">
        <v>76</v>
      </c>
      <c r="I2" t="s">
        <v>545</v>
      </c>
      <c r="J2">
        <v>1447</v>
      </c>
      <c r="K2">
        <v>42</v>
      </c>
      <c r="L2" t="s">
        <v>546</v>
      </c>
      <c r="M2">
        <v>1475</v>
      </c>
      <c r="N2">
        <v>85</v>
      </c>
      <c r="O2" t="s">
        <v>210</v>
      </c>
      <c r="P2">
        <v>1525</v>
      </c>
      <c r="Q2">
        <v>61</v>
      </c>
      <c r="AM2"/>
      <c r="AP2"/>
      <c r="AS2"/>
      <c r="AV2"/>
    </row>
    <row r="3" spans="1:48">
      <c r="A3" t="s">
        <v>394</v>
      </c>
      <c r="C3" t="s">
        <v>395</v>
      </c>
      <c r="D3" s="2">
        <v>1509</v>
      </c>
      <c r="E3">
        <v>106</v>
      </c>
      <c r="F3" t="s">
        <v>488</v>
      </c>
      <c r="G3">
        <v>1547</v>
      </c>
      <c r="H3">
        <v>158</v>
      </c>
      <c r="I3" t="s">
        <v>396</v>
      </c>
      <c r="J3">
        <v>1512</v>
      </c>
      <c r="K3">
        <v>194</v>
      </c>
      <c r="L3" t="s">
        <v>489</v>
      </c>
      <c r="M3">
        <v>1521</v>
      </c>
      <c r="N3">
        <v>79</v>
      </c>
      <c r="O3" t="s">
        <v>634</v>
      </c>
      <c r="P3">
        <v>1489</v>
      </c>
      <c r="Q3">
        <v>57</v>
      </c>
      <c r="AM3"/>
      <c r="AP3"/>
      <c r="AS3"/>
      <c r="AV3"/>
    </row>
    <row r="4" spans="1:48">
      <c r="A4" t="s">
        <v>95</v>
      </c>
      <c r="B4" t="s">
        <v>96</v>
      </c>
      <c r="C4" t="s">
        <v>97</v>
      </c>
      <c r="D4" s="2">
        <v>1699</v>
      </c>
      <c r="E4">
        <v>144</v>
      </c>
      <c r="F4" t="s">
        <v>98</v>
      </c>
      <c r="G4">
        <v>1707</v>
      </c>
      <c r="H4">
        <v>383</v>
      </c>
      <c r="I4" t="s">
        <v>99</v>
      </c>
      <c r="J4">
        <v>1716</v>
      </c>
      <c r="K4">
        <v>431</v>
      </c>
      <c r="L4" t="s">
        <v>482</v>
      </c>
      <c r="M4">
        <v>1660</v>
      </c>
      <c r="N4">
        <v>45</v>
      </c>
      <c r="O4" t="s">
        <v>101</v>
      </c>
      <c r="P4">
        <v>1712</v>
      </c>
      <c r="Q4">
        <v>298</v>
      </c>
      <c r="AM4"/>
      <c r="AP4"/>
      <c r="AS4"/>
      <c r="AV4"/>
    </row>
    <row r="5" spans="1:48">
      <c r="A5" t="s">
        <v>41</v>
      </c>
      <c r="B5" t="s">
        <v>42</v>
      </c>
      <c r="C5" t="s">
        <v>43</v>
      </c>
      <c r="D5" s="2">
        <v>1529</v>
      </c>
      <c r="E5">
        <v>309</v>
      </c>
      <c r="F5" t="s">
        <v>507</v>
      </c>
      <c r="G5">
        <v>1561</v>
      </c>
      <c r="H5">
        <v>52</v>
      </c>
      <c r="I5" t="s">
        <v>508</v>
      </c>
      <c r="J5">
        <v>1563</v>
      </c>
      <c r="K5">
        <v>53</v>
      </c>
      <c r="L5" t="s">
        <v>46</v>
      </c>
      <c r="M5">
        <v>1529</v>
      </c>
      <c r="N5">
        <v>241</v>
      </c>
      <c r="O5" t="s">
        <v>322</v>
      </c>
      <c r="P5">
        <v>1534</v>
      </c>
      <c r="Q5">
        <v>214</v>
      </c>
      <c r="AM5"/>
      <c r="AP5"/>
      <c r="AS5"/>
      <c r="AV5"/>
    </row>
    <row r="6" spans="1:48">
      <c r="A6" t="s">
        <v>465</v>
      </c>
      <c r="B6" t="s">
        <v>635</v>
      </c>
      <c r="C6" t="s">
        <v>636</v>
      </c>
      <c r="D6" s="2">
        <v>1454</v>
      </c>
      <c r="E6">
        <v>25</v>
      </c>
      <c r="F6" t="s">
        <v>637</v>
      </c>
      <c r="G6">
        <v>1451</v>
      </c>
      <c r="H6">
        <v>34</v>
      </c>
      <c r="I6" t="s">
        <v>638</v>
      </c>
      <c r="J6">
        <v>1451</v>
      </c>
      <c r="K6">
        <v>34</v>
      </c>
      <c r="L6" t="s">
        <v>639</v>
      </c>
      <c r="M6">
        <v>1454</v>
      </c>
      <c r="N6">
        <v>25</v>
      </c>
      <c r="O6" t="s">
        <v>640</v>
      </c>
      <c r="P6">
        <v>1471</v>
      </c>
      <c r="Q6">
        <v>29</v>
      </c>
      <c r="AM6"/>
      <c r="AP6"/>
      <c r="AS6"/>
      <c r="AV6"/>
    </row>
    <row r="7" spans="1:48">
      <c r="A7" t="s">
        <v>21</v>
      </c>
      <c r="B7" t="s">
        <v>21</v>
      </c>
      <c r="C7" t="s">
        <v>22</v>
      </c>
      <c r="D7" s="2">
        <v>1543</v>
      </c>
      <c r="E7">
        <v>395</v>
      </c>
      <c r="F7" t="s">
        <v>23</v>
      </c>
      <c r="G7">
        <v>1495</v>
      </c>
      <c r="H7">
        <v>285</v>
      </c>
      <c r="I7" t="s">
        <v>24</v>
      </c>
      <c r="J7">
        <v>1543</v>
      </c>
      <c r="K7">
        <v>268</v>
      </c>
      <c r="L7" t="s">
        <v>25</v>
      </c>
      <c r="M7">
        <v>1545</v>
      </c>
      <c r="N7">
        <v>266</v>
      </c>
      <c r="O7" t="s">
        <v>26</v>
      </c>
      <c r="P7">
        <v>1625</v>
      </c>
      <c r="Q7">
        <v>227</v>
      </c>
      <c r="AM7"/>
      <c r="AP7"/>
      <c r="AS7"/>
      <c r="AV7"/>
    </row>
    <row r="8" spans="1:48">
      <c r="A8" t="s">
        <v>547</v>
      </c>
      <c r="B8" t="s">
        <v>548</v>
      </c>
      <c r="C8" t="s">
        <v>612</v>
      </c>
      <c r="D8" s="2">
        <v>1495</v>
      </c>
      <c r="E8">
        <v>62</v>
      </c>
      <c r="F8" t="s">
        <v>549</v>
      </c>
      <c r="G8">
        <v>1535</v>
      </c>
      <c r="H8">
        <v>87</v>
      </c>
      <c r="I8" t="s">
        <v>613</v>
      </c>
      <c r="J8">
        <v>1557</v>
      </c>
      <c r="K8">
        <v>115</v>
      </c>
      <c r="L8" t="s">
        <v>614</v>
      </c>
      <c r="M8">
        <v>1495</v>
      </c>
      <c r="N8">
        <v>62</v>
      </c>
      <c r="O8" t="s">
        <v>550</v>
      </c>
      <c r="P8">
        <v>1495</v>
      </c>
      <c r="Q8">
        <v>62</v>
      </c>
      <c r="AM8"/>
      <c r="AP8"/>
      <c r="AS8"/>
      <c r="AV8"/>
    </row>
    <row r="9" spans="1:48">
      <c r="A9" t="s">
        <v>133</v>
      </c>
      <c r="B9" t="s">
        <v>134</v>
      </c>
      <c r="C9" t="s">
        <v>135</v>
      </c>
      <c r="D9" s="2">
        <v>1597</v>
      </c>
      <c r="E9">
        <v>104</v>
      </c>
      <c r="F9" t="s">
        <v>679</v>
      </c>
      <c r="G9">
        <v>1650</v>
      </c>
      <c r="H9">
        <v>16</v>
      </c>
      <c r="I9" t="s">
        <v>137</v>
      </c>
      <c r="J9">
        <v>1682</v>
      </c>
      <c r="K9">
        <v>305</v>
      </c>
      <c r="L9" t="s">
        <v>138</v>
      </c>
      <c r="M9">
        <v>1716</v>
      </c>
      <c r="N9">
        <v>436</v>
      </c>
      <c r="O9" t="s">
        <v>515</v>
      </c>
      <c r="P9">
        <v>1599</v>
      </c>
      <c r="Q9">
        <v>104</v>
      </c>
      <c r="AM9"/>
      <c r="AP9"/>
      <c r="AS9"/>
      <c r="AV9"/>
    </row>
    <row r="10" spans="1:48">
      <c r="A10" t="s">
        <v>551</v>
      </c>
      <c r="B10" t="s">
        <v>552</v>
      </c>
      <c r="C10" t="s">
        <v>553</v>
      </c>
      <c r="D10" s="2">
        <v>1614</v>
      </c>
      <c r="E10">
        <v>40</v>
      </c>
      <c r="F10" t="s">
        <v>136</v>
      </c>
      <c r="G10">
        <v>1695</v>
      </c>
      <c r="H10">
        <v>406</v>
      </c>
      <c r="I10" t="s">
        <v>554</v>
      </c>
      <c r="J10">
        <v>1542</v>
      </c>
      <c r="K10">
        <v>136</v>
      </c>
      <c r="L10" t="s">
        <v>555</v>
      </c>
      <c r="M10">
        <v>1563</v>
      </c>
      <c r="N10">
        <v>191</v>
      </c>
      <c r="O10" t="s">
        <v>556</v>
      </c>
      <c r="P10">
        <v>1467</v>
      </c>
      <c r="Q10">
        <v>33</v>
      </c>
      <c r="AM10"/>
      <c r="AP10"/>
      <c r="AS10"/>
      <c r="AV10"/>
    </row>
    <row r="11" spans="1:48">
      <c r="A11" t="s">
        <v>234</v>
      </c>
      <c r="B11" t="s">
        <v>306</v>
      </c>
      <c r="C11" t="s">
        <v>323</v>
      </c>
      <c r="D11" s="2">
        <v>1555</v>
      </c>
      <c r="E11">
        <v>134</v>
      </c>
      <c r="F11" t="s">
        <v>235</v>
      </c>
      <c r="G11">
        <v>1551</v>
      </c>
      <c r="H11">
        <v>294</v>
      </c>
      <c r="I11" t="s">
        <v>236</v>
      </c>
      <c r="J11">
        <v>1574</v>
      </c>
      <c r="K11">
        <v>305</v>
      </c>
      <c r="L11" t="s">
        <v>237</v>
      </c>
      <c r="M11">
        <v>1549</v>
      </c>
      <c r="N11">
        <v>326</v>
      </c>
      <c r="O11" t="s">
        <v>238</v>
      </c>
      <c r="P11">
        <v>1549</v>
      </c>
      <c r="Q11">
        <v>226</v>
      </c>
      <c r="AM11"/>
      <c r="AP11"/>
      <c r="AS11"/>
      <c r="AV11"/>
    </row>
    <row r="12" spans="1:48">
      <c r="A12" t="s">
        <v>557</v>
      </c>
      <c r="B12" t="s">
        <v>558</v>
      </c>
      <c r="C12" t="s">
        <v>559</v>
      </c>
      <c r="D12" s="2">
        <v>1454</v>
      </c>
      <c r="E12">
        <v>39</v>
      </c>
      <c r="F12" t="s">
        <v>560</v>
      </c>
      <c r="G12">
        <v>1472</v>
      </c>
      <c r="H12">
        <v>179</v>
      </c>
      <c r="I12" t="s">
        <v>561</v>
      </c>
      <c r="J12">
        <v>1463</v>
      </c>
      <c r="K12">
        <v>41</v>
      </c>
      <c r="L12" t="s">
        <v>562</v>
      </c>
      <c r="M12">
        <v>1472</v>
      </c>
      <c r="N12">
        <v>275</v>
      </c>
      <c r="O12" t="s">
        <v>563</v>
      </c>
      <c r="P12">
        <v>1443</v>
      </c>
      <c r="Q12">
        <v>41</v>
      </c>
      <c r="AM12"/>
      <c r="AP12"/>
      <c r="AS12"/>
      <c r="AV12"/>
    </row>
    <row r="13" spans="1:48">
      <c r="A13" t="s">
        <v>397</v>
      </c>
      <c r="C13" t="s">
        <v>424</v>
      </c>
      <c r="D13" s="2">
        <v>1498</v>
      </c>
      <c r="E13">
        <v>68</v>
      </c>
      <c r="F13" t="s">
        <v>641</v>
      </c>
      <c r="G13">
        <v>1499</v>
      </c>
      <c r="H13">
        <v>83</v>
      </c>
      <c r="I13" t="s">
        <v>642</v>
      </c>
      <c r="J13">
        <v>1562</v>
      </c>
      <c r="K13">
        <v>16</v>
      </c>
      <c r="L13" t="s">
        <v>643</v>
      </c>
      <c r="M13">
        <v>1586</v>
      </c>
      <c r="N13">
        <v>9</v>
      </c>
      <c r="O13" t="s">
        <v>644</v>
      </c>
      <c r="P13">
        <v>1493</v>
      </c>
      <c r="Q13">
        <v>25</v>
      </c>
      <c r="AM13"/>
      <c r="AP13"/>
      <c r="AS13"/>
      <c r="AV13"/>
    </row>
    <row r="14" spans="1:48">
      <c r="A14" t="s">
        <v>152</v>
      </c>
      <c r="B14" t="s">
        <v>153</v>
      </c>
      <c r="C14" t="s">
        <v>324</v>
      </c>
      <c r="D14" s="2">
        <v>1660</v>
      </c>
      <c r="E14">
        <v>180</v>
      </c>
      <c r="F14" t="s">
        <v>654</v>
      </c>
      <c r="G14">
        <v>1728</v>
      </c>
      <c r="H14">
        <v>332</v>
      </c>
      <c r="I14" t="s">
        <v>155</v>
      </c>
      <c r="J14">
        <v>1674</v>
      </c>
      <c r="K14">
        <v>255</v>
      </c>
      <c r="L14" t="s">
        <v>156</v>
      </c>
      <c r="M14">
        <v>1688</v>
      </c>
      <c r="N14">
        <v>120</v>
      </c>
      <c r="O14" t="s">
        <v>325</v>
      </c>
      <c r="P14">
        <v>1676</v>
      </c>
      <c r="Q14">
        <v>433</v>
      </c>
      <c r="AM14"/>
      <c r="AP14"/>
      <c r="AS14"/>
      <c r="AV14"/>
    </row>
    <row r="15" spans="1:48">
      <c r="A15" t="s">
        <v>434</v>
      </c>
      <c r="B15" t="s">
        <v>446</v>
      </c>
      <c r="C15" t="s">
        <v>447</v>
      </c>
      <c r="D15" s="2">
        <v>1642</v>
      </c>
      <c r="E15">
        <v>107</v>
      </c>
      <c r="F15" t="s">
        <v>448</v>
      </c>
      <c r="G15">
        <v>1639</v>
      </c>
      <c r="H15">
        <v>85</v>
      </c>
      <c r="I15" t="s">
        <v>449</v>
      </c>
      <c r="J15">
        <v>1612</v>
      </c>
      <c r="K15">
        <v>91</v>
      </c>
      <c r="L15" t="s">
        <v>450</v>
      </c>
      <c r="M15">
        <v>1633</v>
      </c>
      <c r="N15">
        <v>110</v>
      </c>
      <c r="O15" t="s">
        <v>451</v>
      </c>
      <c r="P15">
        <v>1639</v>
      </c>
      <c r="Q15">
        <v>85</v>
      </c>
      <c r="AM15"/>
      <c r="AP15"/>
      <c r="AS15"/>
      <c r="AV15"/>
    </row>
    <row r="16" spans="1:48">
      <c r="A16" t="s">
        <v>205</v>
      </c>
      <c r="B16" t="s">
        <v>206</v>
      </c>
      <c r="C16" t="s">
        <v>302</v>
      </c>
      <c r="D16" s="2">
        <v>1698</v>
      </c>
      <c r="E16">
        <v>302</v>
      </c>
      <c r="F16" t="s">
        <v>303</v>
      </c>
      <c r="G16">
        <v>1620</v>
      </c>
      <c r="H16">
        <v>221</v>
      </c>
      <c r="I16" t="s">
        <v>516</v>
      </c>
      <c r="J16">
        <v>1491</v>
      </c>
      <c r="K16">
        <v>58</v>
      </c>
      <c r="L16" t="s">
        <v>530</v>
      </c>
      <c r="M16">
        <v>1447</v>
      </c>
      <c r="N16">
        <v>48</v>
      </c>
      <c r="O16" t="s">
        <v>139</v>
      </c>
      <c r="P16">
        <v>1671</v>
      </c>
      <c r="Q16">
        <v>242</v>
      </c>
      <c r="AM16"/>
      <c r="AP16"/>
      <c r="AS16"/>
      <c r="AV16"/>
    </row>
    <row r="17" spans="1:48">
      <c r="A17" t="s">
        <v>564</v>
      </c>
      <c r="B17" t="s">
        <v>565</v>
      </c>
      <c r="C17" t="s">
        <v>566</v>
      </c>
      <c r="D17" s="2">
        <v>1305</v>
      </c>
      <c r="E17">
        <v>51</v>
      </c>
      <c r="F17" t="s">
        <v>567</v>
      </c>
      <c r="G17">
        <v>1422</v>
      </c>
      <c r="H17">
        <v>6</v>
      </c>
      <c r="I17" t="s">
        <v>568</v>
      </c>
      <c r="J17">
        <v>1350</v>
      </c>
      <c r="K17">
        <v>18</v>
      </c>
      <c r="L17" t="s">
        <v>569</v>
      </c>
      <c r="M17">
        <v>1422</v>
      </c>
      <c r="N17">
        <v>6</v>
      </c>
      <c r="O17" t="s">
        <v>570</v>
      </c>
      <c r="P17">
        <v>1410</v>
      </c>
      <c r="Q17">
        <v>9</v>
      </c>
      <c r="AM17"/>
      <c r="AP17"/>
      <c r="AS17"/>
      <c r="AV17"/>
    </row>
    <row r="18" spans="1:48">
      <c r="A18" t="s">
        <v>34</v>
      </c>
      <c r="B18" t="s">
        <v>35</v>
      </c>
      <c r="C18" t="s">
        <v>36</v>
      </c>
      <c r="D18" s="2">
        <v>1585</v>
      </c>
      <c r="E18">
        <v>295</v>
      </c>
      <c r="F18" t="s">
        <v>522</v>
      </c>
      <c r="G18">
        <v>1510</v>
      </c>
      <c r="H18">
        <v>297</v>
      </c>
      <c r="I18" t="s">
        <v>38</v>
      </c>
      <c r="J18">
        <v>1526</v>
      </c>
      <c r="K18">
        <v>214</v>
      </c>
      <c r="L18" t="s">
        <v>39</v>
      </c>
      <c r="M18">
        <v>1582</v>
      </c>
      <c r="N18">
        <v>80</v>
      </c>
      <c r="O18" t="s">
        <v>40</v>
      </c>
      <c r="P18">
        <v>1569</v>
      </c>
      <c r="Q18">
        <v>304</v>
      </c>
      <c r="AM18"/>
      <c r="AP18"/>
      <c r="AS18"/>
      <c r="AV18"/>
    </row>
    <row r="19" spans="1:48">
      <c r="A19" t="s">
        <v>452</v>
      </c>
      <c r="B19" t="s">
        <v>453</v>
      </c>
      <c r="C19" t="s">
        <v>454</v>
      </c>
      <c r="D19" s="2">
        <v>1869</v>
      </c>
      <c r="E19">
        <v>73</v>
      </c>
      <c r="F19" t="s">
        <v>455</v>
      </c>
      <c r="G19">
        <v>1845</v>
      </c>
      <c r="H19">
        <v>96</v>
      </c>
      <c r="I19" t="s">
        <v>456</v>
      </c>
      <c r="J19">
        <v>1875</v>
      </c>
      <c r="K19">
        <v>266</v>
      </c>
      <c r="L19" t="s">
        <v>457</v>
      </c>
      <c r="M19">
        <v>1879</v>
      </c>
      <c r="N19">
        <v>194</v>
      </c>
      <c r="O19" t="s">
        <v>458</v>
      </c>
      <c r="P19">
        <v>1869</v>
      </c>
      <c r="Q19">
        <v>260</v>
      </c>
      <c r="AM19"/>
      <c r="AP19"/>
      <c r="AS19"/>
      <c r="AV19"/>
    </row>
    <row r="20" spans="1:48">
      <c r="A20" t="s">
        <v>299</v>
      </c>
      <c r="B20" t="s">
        <v>300</v>
      </c>
      <c r="C20" t="s">
        <v>207</v>
      </c>
      <c r="D20" s="2">
        <v>1602</v>
      </c>
      <c r="E20">
        <v>203</v>
      </c>
      <c r="F20" t="s">
        <v>63</v>
      </c>
      <c r="G20">
        <v>1542</v>
      </c>
      <c r="H20">
        <v>221</v>
      </c>
      <c r="I20" t="s">
        <v>517</v>
      </c>
      <c r="J20">
        <v>1591</v>
      </c>
      <c r="K20">
        <v>259</v>
      </c>
      <c r="L20" t="s">
        <v>209</v>
      </c>
      <c r="M20">
        <v>1575</v>
      </c>
      <c r="N20">
        <v>411</v>
      </c>
      <c r="O20" t="s">
        <v>518</v>
      </c>
      <c r="P20">
        <v>1584</v>
      </c>
      <c r="Q20">
        <v>44</v>
      </c>
      <c r="AM20"/>
      <c r="AP20"/>
      <c r="AS20"/>
      <c r="AV20"/>
    </row>
    <row r="21" spans="1:48">
      <c r="A21" t="s">
        <v>571</v>
      </c>
      <c r="B21" t="s">
        <v>572</v>
      </c>
      <c r="C21" t="s">
        <v>573</v>
      </c>
      <c r="D21" s="2">
        <v>1556</v>
      </c>
      <c r="E21">
        <v>49</v>
      </c>
      <c r="F21" t="s">
        <v>68</v>
      </c>
      <c r="G21">
        <v>1625</v>
      </c>
      <c r="H21">
        <v>287</v>
      </c>
      <c r="I21" t="s">
        <v>615</v>
      </c>
      <c r="J21">
        <v>1488</v>
      </c>
      <c r="K21">
        <v>67</v>
      </c>
      <c r="L21" t="s">
        <v>574</v>
      </c>
      <c r="M21">
        <v>1556</v>
      </c>
      <c r="N21">
        <v>49</v>
      </c>
      <c r="O21" t="s">
        <v>575</v>
      </c>
      <c r="P21">
        <v>1484</v>
      </c>
      <c r="Q21">
        <v>56</v>
      </c>
      <c r="AM21"/>
      <c r="AP21"/>
      <c r="AS21"/>
      <c r="AV21"/>
    </row>
    <row r="22" spans="1:48">
      <c r="A22" t="s">
        <v>198</v>
      </c>
      <c r="B22" t="s">
        <v>199</v>
      </c>
      <c r="C22" t="s">
        <v>460</v>
      </c>
      <c r="D22" s="2">
        <v>1608</v>
      </c>
      <c r="E22">
        <v>61</v>
      </c>
      <c r="F22" t="s">
        <v>201</v>
      </c>
      <c r="G22">
        <v>1719</v>
      </c>
      <c r="H22">
        <v>165</v>
      </c>
      <c r="I22" t="s">
        <v>202</v>
      </c>
      <c r="J22">
        <v>1717</v>
      </c>
      <c r="K22">
        <v>174</v>
      </c>
      <c r="L22" t="s">
        <v>203</v>
      </c>
      <c r="M22">
        <v>1682</v>
      </c>
      <c r="N22">
        <v>396</v>
      </c>
      <c r="O22" t="s">
        <v>204</v>
      </c>
      <c r="P22">
        <v>1699</v>
      </c>
      <c r="Q22">
        <v>321</v>
      </c>
      <c r="AM22"/>
      <c r="AP22"/>
      <c r="AS22"/>
      <c r="AV22"/>
    </row>
    <row r="23" spans="1:48">
      <c r="A23" t="s">
        <v>84</v>
      </c>
      <c r="B23" t="s">
        <v>85</v>
      </c>
      <c r="C23" t="s">
        <v>326</v>
      </c>
      <c r="D23" s="2">
        <v>1483</v>
      </c>
      <c r="E23">
        <v>202</v>
      </c>
      <c r="F23" t="s">
        <v>509</v>
      </c>
      <c r="G23">
        <v>1493</v>
      </c>
      <c r="H23">
        <v>78</v>
      </c>
      <c r="I23" t="s">
        <v>510</v>
      </c>
      <c r="J23">
        <v>1481</v>
      </c>
      <c r="K23">
        <v>264</v>
      </c>
      <c r="L23" t="s">
        <v>86</v>
      </c>
      <c r="M23">
        <v>1496</v>
      </c>
      <c r="N23">
        <v>156</v>
      </c>
      <c r="O23" t="s">
        <v>87</v>
      </c>
      <c r="P23">
        <v>1493</v>
      </c>
      <c r="Q23">
        <v>125</v>
      </c>
      <c r="AM23"/>
      <c r="AP23"/>
      <c r="AS23"/>
      <c r="AV23"/>
    </row>
    <row r="24" spans="1:48">
      <c r="A24" t="s">
        <v>222</v>
      </c>
      <c r="B24" t="s">
        <v>223</v>
      </c>
      <c r="C24" t="s">
        <v>224</v>
      </c>
      <c r="D24" s="2">
        <v>1620</v>
      </c>
      <c r="E24">
        <v>199</v>
      </c>
      <c r="F24" t="s">
        <v>225</v>
      </c>
      <c r="G24">
        <v>1644</v>
      </c>
      <c r="H24">
        <v>364</v>
      </c>
      <c r="I24" t="s">
        <v>226</v>
      </c>
      <c r="J24">
        <v>1666</v>
      </c>
      <c r="K24">
        <v>262</v>
      </c>
      <c r="L24" t="s">
        <v>227</v>
      </c>
      <c r="M24">
        <v>1603</v>
      </c>
      <c r="N24">
        <v>199</v>
      </c>
      <c r="O24" t="s">
        <v>228</v>
      </c>
      <c r="P24">
        <v>1593</v>
      </c>
      <c r="Q24">
        <v>112</v>
      </c>
      <c r="AM24"/>
      <c r="AP24"/>
      <c r="AS24"/>
      <c r="AV24"/>
    </row>
    <row r="25" spans="1:48">
      <c r="A25" t="s">
        <v>399</v>
      </c>
      <c r="B25" t="s">
        <v>400</v>
      </c>
      <c r="C25" t="s">
        <v>401</v>
      </c>
      <c r="D25" s="2">
        <v>1236</v>
      </c>
      <c r="E25">
        <v>28</v>
      </c>
      <c r="F25" t="s">
        <v>425</v>
      </c>
      <c r="G25">
        <v>1345</v>
      </c>
      <c r="H25">
        <v>18</v>
      </c>
      <c r="I25" t="s">
        <v>402</v>
      </c>
      <c r="J25">
        <v>1400</v>
      </c>
      <c r="K25">
        <v>28</v>
      </c>
      <c r="L25" t="s">
        <v>423</v>
      </c>
      <c r="M25">
        <v>1236</v>
      </c>
      <c r="N25">
        <v>28</v>
      </c>
      <c r="O25" t="s">
        <v>403</v>
      </c>
      <c r="P25">
        <v>1244</v>
      </c>
      <c r="Q25">
        <v>22</v>
      </c>
      <c r="AM25"/>
      <c r="AP25"/>
      <c r="AS25"/>
      <c r="AV25"/>
    </row>
    <row r="26" spans="1:48">
      <c r="A26" t="s">
        <v>483</v>
      </c>
      <c r="B26" t="s">
        <v>483</v>
      </c>
      <c r="C26" t="s">
        <v>163</v>
      </c>
      <c r="D26" s="2">
        <v>1723</v>
      </c>
      <c r="E26">
        <v>419</v>
      </c>
      <c r="F26" t="s">
        <v>164</v>
      </c>
      <c r="G26">
        <v>1744</v>
      </c>
      <c r="H26">
        <v>359</v>
      </c>
      <c r="I26" t="s">
        <v>336</v>
      </c>
      <c r="J26">
        <v>1653</v>
      </c>
      <c r="K26">
        <v>249</v>
      </c>
      <c r="L26" t="s">
        <v>166</v>
      </c>
      <c r="M26">
        <v>1719</v>
      </c>
      <c r="N26">
        <v>286</v>
      </c>
      <c r="O26" t="s">
        <v>167</v>
      </c>
      <c r="P26">
        <v>1718</v>
      </c>
      <c r="Q26">
        <v>316</v>
      </c>
      <c r="AM26"/>
      <c r="AP26"/>
      <c r="AS26"/>
      <c r="AV26"/>
    </row>
    <row r="27" spans="1:48">
      <c r="A27" t="s">
        <v>349</v>
      </c>
      <c r="B27" t="s">
        <v>48</v>
      </c>
      <c r="C27" t="s">
        <v>49</v>
      </c>
      <c r="D27" s="2">
        <v>1479</v>
      </c>
      <c r="E27">
        <v>58</v>
      </c>
      <c r="F27" t="s">
        <v>50</v>
      </c>
      <c r="G27">
        <v>1425</v>
      </c>
      <c r="H27">
        <v>102</v>
      </c>
      <c r="I27" t="s">
        <v>51</v>
      </c>
      <c r="J27">
        <v>1433</v>
      </c>
      <c r="K27">
        <v>204</v>
      </c>
      <c r="L27" t="s">
        <v>52</v>
      </c>
      <c r="M27">
        <v>1427</v>
      </c>
      <c r="N27">
        <v>205</v>
      </c>
      <c r="O27" t="s">
        <v>512</v>
      </c>
      <c r="P27">
        <v>1380</v>
      </c>
      <c r="Q27">
        <v>23</v>
      </c>
      <c r="AM27"/>
      <c r="AP27"/>
      <c r="AS27"/>
      <c r="AV27"/>
    </row>
    <row r="28" spans="1:48">
      <c r="A28" t="s">
        <v>244</v>
      </c>
      <c r="B28" t="s">
        <v>307</v>
      </c>
      <c r="C28" t="s">
        <v>245</v>
      </c>
      <c r="D28" s="2">
        <v>1452</v>
      </c>
      <c r="E28">
        <v>228</v>
      </c>
      <c r="F28" t="s">
        <v>246</v>
      </c>
      <c r="G28">
        <v>1557</v>
      </c>
      <c r="H28">
        <v>166</v>
      </c>
      <c r="I28" t="s">
        <v>519</v>
      </c>
      <c r="J28">
        <v>1515</v>
      </c>
      <c r="K28">
        <v>277</v>
      </c>
      <c r="L28" t="s">
        <v>248</v>
      </c>
      <c r="M28">
        <v>1477</v>
      </c>
      <c r="N28">
        <v>99</v>
      </c>
      <c r="O28" t="s">
        <v>249</v>
      </c>
      <c r="P28">
        <v>1453</v>
      </c>
      <c r="Q28">
        <v>218</v>
      </c>
      <c r="AM28"/>
      <c r="AP28"/>
      <c r="AS28"/>
      <c r="AV28"/>
    </row>
    <row r="29" spans="1:48">
      <c r="A29" t="s">
        <v>576</v>
      </c>
      <c r="B29" t="s">
        <v>577</v>
      </c>
      <c r="C29" t="s">
        <v>329</v>
      </c>
      <c r="D29" s="2">
        <v>1445</v>
      </c>
      <c r="E29">
        <v>188</v>
      </c>
      <c r="F29" t="s">
        <v>578</v>
      </c>
      <c r="G29">
        <v>1262</v>
      </c>
      <c r="H29">
        <v>36</v>
      </c>
      <c r="I29" t="s">
        <v>579</v>
      </c>
      <c r="J29">
        <v>1262</v>
      </c>
      <c r="K29">
        <v>36</v>
      </c>
      <c r="L29" t="s">
        <v>580</v>
      </c>
      <c r="M29">
        <v>1444</v>
      </c>
      <c r="N29">
        <v>143</v>
      </c>
      <c r="O29" t="s">
        <v>581</v>
      </c>
      <c r="P29">
        <v>1399</v>
      </c>
      <c r="Q29">
        <v>90</v>
      </c>
      <c r="AM29"/>
      <c r="AP29"/>
      <c r="AS29"/>
      <c r="AV29"/>
    </row>
    <row r="30" spans="1:48">
      <c r="A30" t="s">
        <v>477</v>
      </c>
      <c r="B30" t="s">
        <v>490</v>
      </c>
      <c r="C30" t="s">
        <v>491</v>
      </c>
      <c r="D30" s="2">
        <v>1702</v>
      </c>
      <c r="E30">
        <v>59</v>
      </c>
      <c r="F30" t="s">
        <v>492</v>
      </c>
      <c r="G30">
        <v>1702</v>
      </c>
      <c r="H30">
        <v>59</v>
      </c>
      <c r="I30" t="s">
        <v>493</v>
      </c>
      <c r="J30">
        <v>1691</v>
      </c>
      <c r="K30">
        <v>41</v>
      </c>
      <c r="L30" t="s">
        <v>494</v>
      </c>
      <c r="M30">
        <v>1702</v>
      </c>
      <c r="N30">
        <v>59</v>
      </c>
      <c r="O30" t="s">
        <v>498</v>
      </c>
      <c r="P30">
        <v>1680</v>
      </c>
      <c r="Q30">
        <v>64</v>
      </c>
      <c r="AM30"/>
      <c r="AP30"/>
      <c r="AS30"/>
      <c r="AV30"/>
    </row>
    <row r="31" spans="1:48">
      <c r="A31" t="s">
        <v>60</v>
      </c>
      <c r="B31" t="s">
        <v>61</v>
      </c>
      <c r="C31" t="s">
        <v>62</v>
      </c>
      <c r="D31" s="2">
        <v>1451</v>
      </c>
      <c r="E31">
        <v>153</v>
      </c>
      <c r="F31" t="s">
        <v>64</v>
      </c>
      <c r="G31">
        <v>1473</v>
      </c>
      <c r="H31">
        <v>58</v>
      </c>
      <c r="I31" t="s">
        <v>624</v>
      </c>
      <c r="J31">
        <v>1466</v>
      </c>
      <c r="K31">
        <v>149</v>
      </c>
      <c r="L31" t="s">
        <v>625</v>
      </c>
      <c r="M31">
        <v>1401</v>
      </c>
      <c r="N31">
        <v>221</v>
      </c>
      <c r="O31" t="s">
        <v>334</v>
      </c>
      <c r="P31">
        <v>1386</v>
      </c>
      <c r="Q31">
        <v>166</v>
      </c>
      <c r="AM31"/>
      <c r="AP31"/>
      <c r="AS31"/>
      <c r="AV31"/>
    </row>
    <row r="32" spans="1:48">
      <c r="A32" t="s">
        <v>404</v>
      </c>
      <c r="C32" t="s">
        <v>405</v>
      </c>
      <c r="D32" s="2">
        <v>1459</v>
      </c>
      <c r="E32">
        <v>53</v>
      </c>
      <c r="F32" t="s">
        <v>406</v>
      </c>
      <c r="G32">
        <v>1459</v>
      </c>
      <c r="H32">
        <v>53</v>
      </c>
      <c r="I32" t="s">
        <v>645</v>
      </c>
      <c r="J32">
        <v>1483</v>
      </c>
      <c r="K32">
        <v>55</v>
      </c>
      <c r="L32" t="s">
        <v>646</v>
      </c>
      <c r="M32">
        <v>1444</v>
      </c>
      <c r="N32">
        <v>53</v>
      </c>
      <c r="O32" t="s">
        <v>407</v>
      </c>
      <c r="P32">
        <v>1465</v>
      </c>
      <c r="Q32">
        <v>52</v>
      </c>
      <c r="AM32"/>
      <c r="AP32"/>
      <c r="AS32"/>
      <c r="AV32"/>
    </row>
    <row r="33" spans="1:48">
      <c r="A33" t="s">
        <v>501</v>
      </c>
      <c r="B33" t="s">
        <v>502</v>
      </c>
      <c r="C33" t="s">
        <v>278</v>
      </c>
      <c r="D33" s="2">
        <v>1621</v>
      </c>
      <c r="E33">
        <v>166</v>
      </c>
      <c r="F33" t="s">
        <v>341</v>
      </c>
      <c r="G33">
        <v>1618</v>
      </c>
      <c r="H33">
        <v>160</v>
      </c>
      <c r="I33" t="s">
        <v>340</v>
      </c>
      <c r="J33">
        <v>1618</v>
      </c>
      <c r="K33">
        <v>114</v>
      </c>
      <c r="L33" t="s">
        <v>279</v>
      </c>
      <c r="M33">
        <v>1622</v>
      </c>
      <c r="N33">
        <v>341</v>
      </c>
      <c r="O33" t="s">
        <v>330</v>
      </c>
      <c r="P33">
        <v>1622</v>
      </c>
      <c r="Q33">
        <v>249</v>
      </c>
      <c r="AM33"/>
      <c r="AP33"/>
      <c r="AS33"/>
      <c r="AV33"/>
    </row>
    <row r="34" spans="1:48">
      <c r="A34" t="s">
        <v>239</v>
      </c>
      <c r="B34" t="s">
        <v>240</v>
      </c>
      <c r="C34" t="s">
        <v>504</v>
      </c>
      <c r="D34" s="2">
        <v>1667</v>
      </c>
      <c r="E34">
        <v>355</v>
      </c>
      <c r="F34" t="s">
        <v>241</v>
      </c>
      <c r="G34">
        <v>1782</v>
      </c>
      <c r="H34">
        <v>152</v>
      </c>
      <c r="I34" t="s">
        <v>335</v>
      </c>
      <c r="J34">
        <v>1785</v>
      </c>
      <c r="K34">
        <v>414</v>
      </c>
      <c r="L34" t="s">
        <v>242</v>
      </c>
      <c r="M34">
        <v>1779</v>
      </c>
      <c r="N34">
        <v>93</v>
      </c>
      <c r="O34" t="s">
        <v>243</v>
      </c>
      <c r="P34">
        <v>1785</v>
      </c>
      <c r="Q34">
        <v>216</v>
      </c>
      <c r="AM34"/>
      <c r="AP34"/>
      <c r="AS34"/>
      <c r="AV34"/>
    </row>
    <row r="35" spans="1:48">
      <c r="A35" t="s">
        <v>168</v>
      </c>
      <c r="B35" t="s">
        <v>169</v>
      </c>
      <c r="C35" t="s">
        <v>170</v>
      </c>
      <c r="D35" s="2">
        <v>1639</v>
      </c>
      <c r="E35">
        <v>96</v>
      </c>
      <c r="F35" t="s">
        <v>171</v>
      </c>
      <c r="G35">
        <v>1642</v>
      </c>
      <c r="H35">
        <v>140</v>
      </c>
      <c r="I35" t="s">
        <v>321</v>
      </c>
      <c r="J35">
        <v>1639</v>
      </c>
      <c r="K35">
        <v>96</v>
      </c>
      <c r="L35" t="s">
        <v>172</v>
      </c>
      <c r="M35">
        <v>1633</v>
      </c>
      <c r="N35">
        <v>177</v>
      </c>
      <c r="O35" t="s">
        <v>173</v>
      </c>
      <c r="P35">
        <v>1636</v>
      </c>
      <c r="Q35">
        <v>132</v>
      </c>
      <c r="AM35"/>
      <c r="AP35"/>
      <c r="AS35"/>
      <c r="AV35"/>
    </row>
    <row r="36" spans="1:48">
      <c r="A36" t="s">
        <v>2</v>
      </c>
      <c r="B36" t="s">
        <v>3</v>
      </c>
      <c r="C36" t="s">
        <v>4</v>
      </c>
      <c r="D36" s="2">
        <v>1510</v>
      </c>
      <c r="E36">
        <v>134</v>
      </c>
      <c r="F36" t="s">
        <v>5</v>
      </c>
      <c r="G36">
        <v>1527</v>
      </c>
      <c r="H36">
        <v>171</v>
      </c>
      <c r="I36" t="s">
        <v>343</v>
      </c>
      <c r="J36">
        <v>1500</v>
      </c>
      <c r="K36">
        <v>80</v>
      </c>
      <c r="L36" t="s">
        <v>6</v>
      </c>
      <c r="M36">
        <v>1514</v>
      </c>
      <c r="N36">
        <v>183</v>
      </c>
      <c r="O36" t="s">
        <v>503</v>
      </c>
      <c r="P36">
        <v>1471</v>
      </c>
      <c r="Q36">
        <v>59</v>
      </c>
      <c r="AM36"/>
      <c r="AP36"/>
      <c r="AS36"/>
      <c r="AV36"/>
    </row>
    <row r="37" spans="1:48">
      <c r="A37" t="s">
        <v>27</v>
      </c>
      <c r="B37" t="s">
        <v>28</v>
      </c>
      <c r="C37" t="s">
        <v>29</v>
      </c>
      <c r="D37" s="2">
        <v>1836</v>
      </c>
      <c r="E37">
        <v>441</v>
      </c>
      <c r="F37" t="s">
        <v>30</v>
      </c>
      <c r="G37">
        <v>1830</v>
      </c>
      <c r="H37">
        <v>426</v>
      </c>
      <c r="I37" t="s">
        <v>495</v>
      </c>
      <c r="J37">
        <v>1794</v>
      </c>
      <c r="K37">
        <v>66</v>
      </c>
      <c r="L37" t="s">
        <v>32</v>
      </c>
      <c r="M37">
        <v>1829</v>
      </c>
      <c r="N37">
        <v>464</v>
      </c>
      <c r="O37" t="s">
        <v>33</v>
      </c>
      <c r="P37">
        <v>1827</v>
      </c>
      <c r="Q37">
        <v>472</v>
      </c>
      <c r="AM37"/>
      <c r="AP37"/>
      <c r="AS37"/>
      <c r="AV37"/>
    </row>
    <row r="38" spans="1:48">
      <c r="A38" t="s">
        <v>127</v>
      </c>
      <c r="B38" t="s">
        <v>366</v>
      </c>
      <c r="C38" t="s">
        <v>128</v>
      </c>
      <c r="D38" s="2">
        <v>1784</v>
      </c>
      <c r="E38">
        <v>168</v>
      </c>
      <c r="F38" t="s">
        <v>129</v>
      </c>
      <c r="G38">
        <v>1836</v>
      </c>
      <c r="H38">
        <v>321</v>
      </c>
      <c r="I38" t="s">
        <v>130</v>
      </c>
      <c r="J38">
        <v>1796</v>
      </c>
      <c r="K38">
        <v>232</v>
      </c>
      <c r="L38" t="s">
        <v>131</v>
      </c>
      <c r="M38">
        <v>1801</v>
      </c>
      <c r="N38">
        <v>462</v>
      </c>
      <c r="O38" t="s">
        <v>132</v>
      </c>
      <c r="P38">
        <v>1801</v>
      </c>
      <c r="Q38">
        <v>458</v>
      </c>
      <c r="AM38"/>
      <c r="AP38"/>
      <c r="AS38"/>
      <c r="AV38"/>
    </row>
    <row r="39" spans="1:48">
      <c r="A39" t="s">
        <v>174</v>
      </c>
      <c r="B39" t="s">
        <v>175</v>
      </c>
      <c r="C39" t="s">
        <v>176</v>
      </c>
      <c r="D39" s="2">
        <v>1364</v>
      </c>
      <c r="E39">
        <v>133</v>
      </c>
      <c r="F39" t="s">
        <v>177</v>
      </c>
      <c r="G39">
        <v>1473</v>
      </c>
      <c r="H39">
        <v>108</v>
      </c>
      <c r="I39" t="s">
        <v>178</v>
      </c>
      <c r="J39">
        <v>1354</v>
      </c>
      <c r="K39">
        <v>183</v>
      </c>
      <c r="L39" t="s">
        <v>179</v>
      </c>
      <c r="M39">
        <v>1354</v>
      </c>
      <c r="N39">
        <v>173</v>
      </c>
      <c r="O39" t="s">
        <v>180</v>
      </c>
      <c r="P39">
        <v>1338</v>
      </c>
      <c r="Q39">
        <v>147</v>
      </c>
      <c r="AM39"/>
      <c r="AP39"/>
      <c r="AS39"/>
      <c r="AV39"/>
    </row>
    <row r="40" spans="1:48">
      <c r="A40" t="s">
        <v>54</v>
      </c>
      <c r="B40" t="s">
        <v>55</v>
      </c>
      <c r="C40" t="s">
        <v>56</v>
      </c>
      <c r="D40" s="2">
        <v>1510</v>
      </c>
      <c r="E40">
        <v>135</v>
      </c>
      <c r="F40" t="s">
        <v>57</v>
      </c>
      <c r="G40">
        <v>1497</v>
      </c>
      <c r="H40">
        <v>232</v>
      </c>
      <c r="I40" t="s">
        <v>320</v>
      </c>
      <c r="J40">
        <v>1505</v>
      </c>
      <c r="K40">
        <v>81</v>
      </c>
      <c r="L40" t="s">
        <v>19</v>
      </c>
      <c r="M40">
        <v>1554</v>
      </c>
      <c r="N40">
        <v>59</v>
      </c>
      <c r="O40" t="s">
        <v>59</v>
      </c>
      <c r="P40">
        <v>1513</v>
      </c>
      <c r="Q40">
        <v>355</v>
      </c>
      <c r="AM40"/>
      <c r="AP40"/>
      <c r="AS40"/>
      <c r="AV40"/>
    </row>
    <row r="41" spans="1:48">
      <c r="A41" t="s">
        <v>102</v>
      </c>
      <c r="B41" t="s">
        <v>102</v>
      </c>
      <c r="C41" t="s">
        <v>103</v>
      </c>
      <c r="D41" s="2">
        <v>1441</v>
      </c>
      <c r="E41">
        <v>239</v>
      </c>
      <c r="F41" t="s">
        <v>481</v>
      </c>
      <c r="G41">
        <v>1442</v>
      </c>
      <c r="H41">
        <v>244</v>
      </c>
      <c r="I41" t="s">
        <v>105</v>
      </c>
      <c r="J41">
        <v>1442</v>
      </c>
      <c r="K41">
        <v>244</v>
      </c>
      <c r="L41" t="s">
        <v>379</v>
      </c>
      <c r="M41">
        <v>1452</v>
      </c>
      <c r="N41">
        <v>255</v>
      </c>
      <c r="O41" t="s">
        <v>524</v>
      </c>
      <c r="P41">
        <v>1452</v>
      </c>
      <c r="Q41">
        <v>8</v>
      </c>
      <c r="AM41"/>
      <c r="AP41"/>
      <c r="AS41"/>
      <c r="AV41"/>
    </row>
    <row r="42" spans="1:48">
      <c r="A42" t="s">
        <v>140</v>
      </c>
      <c r="B42" t="s">
        <v>141</v>
      </c>
      <c r="C42" t="s">
        <v>142</v>
      </c>
      <c r="D42" s="2">
        <v>1558</v>
      </c>
      <c r="E42">
        <v>142</v>
      </c>
      <c r="F42" t="s">
        <v>143</v>
      </c>
      <c r="G42">
        <v>1554</v>
      </c>
      <c r="H42">
        <v>164</v>
      </c>
      <c r="I42" t="s">
        <v>144</v>
      </c>
      <c r="J42">
        <v>1551</v>
      </c>
      <c r="K42">
        <v>187</v>
      </c>
      <c r="L42" t="s">
        <v>145</v>
      </c>
      <c r="M42">
        <v>1558</v>
      </c>
      <c r="N42">
        <v>142</v>
      </c>
      <c r="O42" t="s">
        <v>146</v>
      </c>
      <c r="P42">
        <v>1551</v>
      </c>
      <c r="Q42">
        <v>162</v>
      </c>
      <c r="AM42"/>
      <c r="AP42"/>
      <c r="AS42"/>
      <c r="AV42"/>
    </row>
    <row r="43" spans="1:48">
      <c r="A43" t="s">
        <v>229</v>
      </c>
      <c r="B43" t="s">
        <v>229</v>
      </c>
      <c r="C43" t="s">
        <v>230</v>
      </c>
      <c r="D43" s="2">
        <v>1452</v>
      </c>
      <c r="E43">
        <v>305</v>
      </c>
      <c r="F43" t="s">
        <v>655</v>
      </c>
      <c r="G43">
        <v>1502</v>
      </c>
      <c r="H43">
        <v>61</v>
      </c>
      <c r="I43" t="s">
        <v>231</v>
      </c>
      <c r="J43">
        <v>1448</v>
      </c>
      <c r="K43">
        <v>230</v>
      </c>
      <c r="L43" t="s">
        <v>232</v>
      </c>
      <c r="M43">
        <v>1442</v>
      </c>
      <c r="N43">
        <v>72</v>
      </c>
      <c r="O43" t="s">
        <v>233</v>
      </c>
      <c r="P43">
        <v>1451</v>
      </c>
      <c r="Q43">
        <v>294</v>
      </c>
      <c r="AM43"/>
      <c r="AP43"/>
      <c r="AS43"/>
      <c r="AV43"/>
    </row>
    <row r="44" spans="1:48">
      <c r="A44" t="s">
        <v>582</v>
      </c>
      <c r="B44" t="s">
        <v>583</v>
      </c>
      <c r="C44" t="s">
        <v>616</v>
      </c>
      <c r="D44" s="2">
        <v>1360</v>
      </c>
      <c r="E44">
        <v>53</v>
      </c>
      <c r="F44" t="s">
        <v>584</v>
      </c>
      <c r="G44">
        <v>1344</v>
      </c>
      <c r="H44">
        <v>17</v>
      </c>
      <c r="I44" t="s">
        <v>585</v>
      </c>
      <c r="J44">
        <v>1348</v>
      </c>
      <c r="K44">
        <v>36</v>
      </c>
      <c r="L44" t="s">
        <v>586</v>
      </c>
      <c r="M44">
        <v>1426</v>
      </c>
      <c r="N44">
        <v>26</v>
      </c>
      <c r="O44" t="s">
        <v>587</v>
      </c>
      <c r="P44">
        <v>1373</v>
      </c>
      <c r="Q44">
        <v>197</v>
      </c>
      <c r="AM44"/>
      <c r="AS44"/>
      <c r="AV44"/>
    </row>
    <row r="45" spans="1:48">
      <c r="A45" t="s">
        <v>147</v>
      </c>
      <c r="B45" t="s">
        <v>301</v>
      </c>
      <c r="C45" t="s">
        <v>526</v>
      </c>
      <c r="D45" s="2">
        <v>1505</v>
      </c>
      <c r="E45">
        <v>45</v>
      </c>
      <c r="F45" t="s">
        <v>148</v>
      </c>
      <c r="G45">
        <v>1502</v>
      </c>
      <c r="H45">
        <v>112</v>
      </c>
      <c r="I45" t="s">
        <v>149</v>
      </c>
      <c r="J45">
        <v>1541</v>
      </c>
      <c r="K45">
        <v>276</v>
      </c>
      <c r="L45" t="s">
        <v>150</v>
      </c>
      <c r="M45">
        <v>1533</v>
      </c>
      <c r="N45">
        <v>368</v>
      </c>
      <c r="O45" t="s">
        <v>520</v>
      </c>
      <c r="P45">
        <v>1488</v>
      </c>
      <c r="Q45">
        <v>135</v>
      </c>
    </row>
    <row r="46" spans="1:48">
      <c r="A46" t="s">
        <v>347</v>
      </c>
      <c r="B46" t="s">
        <v>89</v>
      </c>
      <c r="C46" t="s">
        <v>90</v>
      </c>
      <c r="D46" s="2">
        <v>1450</v>
      </c>
      <c r="E46">
        <v>87</v>
      </c>
      <c r="F46" t="s">
        <v>91</v>
      </c>
      <c r="G46">
        <v>1468</v>
      </c>
      <c r="H46">
        <v>129</v>
      </c>
      <c r="I46" t="s">
        <v>92</v>
      </c>
      <c r="J46">
        <v>1443</v>
      </c>
      <c r="K46">
        <v>75</v>
      </c>
      <c r="L46" t="s">
        <v>93</v>
      </c>
      <c r="M46">
        <v>1439</v>
      </c>
      <c r="N46">
        <v>120</v>
      </c>
      <c r="O46" t="s">
        <v>94</v>
      </c>
      <c r="P46">
        <v>1474</v>
      </c>
      <c r="Q46">
        <v>76</v>
      </c>
    </row>
    <row r="47" spans="1:48">
      <c r="A47" t="s">
        <v>192</v>
      </c>
      <c r="B47" t="s">
        <v>193</v>
      </c>
      <c r="C47" t="s">
        <v>194</v>
      </c>
      <c r="D47" s="2">
        <v>1763</v>
      </c>
      <c r="E47">
        <v>239</v>
      </c>
      <c r="F47" t="s">
        <v>195</v>
      </c>
      <c r="G47">
        <v>1715</v>
      </c>
      <c r="H47">
        <v>168</v>
      </c>
      <c r="I47" t="s">
        <v>196</v>
      </c>
      <c r="J47">
        <v>1750</v>
      </c>
      <c r="K47">
        <v>279</v>
      </c>
      <c r="L47" t="s">
        <v>197</v>
      </c>
      <c r="M47">
        <v>1749</v>
      </c>
      <c r="N47">
        <v>320</v>
      </c>
      <c r="O47" t="s">
        <v>331</v>
      </c>
      <c r="P47">
        <v>1748</v>
      </c>
      <c r="Q47">
        <v>93</v>
      </c>
    </row>
    <row r="48" spans="1:48">
      <c r="A48" t="s">
        <v>408</v>
      </c>
      <c r="B48" t="s">
        <v>409</v>
      </c>
      <c r="C48" t="s">
        <v>410</v>
      </c>
      <c r="D48" s="2">
        <v>1656</v>
      </c>
      <c r="E48">
        <v>66</v>
      </c>
      <c r="F48" t="s">
        <v>647</v>
      </c>
      <c r="G48">
        <v>1634</v>
      </c>
      <c r="H48">
        <v>31</v>
      </c>
      <c r="I48" t="s">
        <v>648</v>
      </c>
      <c r="J48">
        <v>1634</v>
      </c>
      <c r="K48">
        <v>31</v>
      </c>
      <c r="L48" t="s">
        <v>649</v>
      </c>
      <c r="M48">
        <v>1585</v>
      </c>
      <c r="N48">
        <v>146</v>
      </c>
      <c r="O48" t="s">
        <v>411</v>
      </c>
      <c r="P48">
        <v>1653</v>
      </c>
      <c r="Q48">
        <v>108</v>
      </c>
      <c r="AM48" s="15"/>
    </row>
    <row r="49" spans="1:42">
      <c r="A49" t="s">
        <v>15</v>
      </c>
      <c r="B49" t="s">
        <v>312</v>
      </c>
      <c r="C49" t="s">
        <v>16</v>
      </c>
      <c r="D49" s="2">
        <v>1787</v>
      </c>
      <c r="E49">
        <v>262</v>
      </c>
      <c r="F49" t="s">
        <v>620</v>
      </c>
      <c r="G49">
        <v>1774</v>
      </c>
      <c r="H49">
        <v>373</v>
      </c>
      <c r="I49" t="s">
        <v>18</v>
      </c>
      <c r="J49">
        <v>1780</v>
      </c>
      <c r="K49">
        <v>439</v>
      </c>
      <c r="L49" t="s">
        <v>617</v>
      </c>
      <c r="M49">
        <v>1803</v>
      </c>
      <c r="N49">
        <v>373</v>
      </c>
      <c r="O49" t="s">
        <v>20</v>
      </c>
      <c r="P49">
        <v>1779</v>
      </c>
      <c r="Q49">
        <v>237</v>
      </c>
    </row>
    <row r="50" spans="1:42">
      <c r="A50" t="s">
        <v>181</v>
      </c>
      <c r="B50" t="s">
        <v>182</v>
      </c>
      <c r="C50" t="s">
        <v>377</v>
      </c>
      <c r="D50" s="2">
        <v>1600</v>
      </c>
      <c r="E50">
        <v>94</v>
      </c>
      <c r="F50" t="s">
        <v>339</v>
      </c>
      <c r="G50">
        <v>1665</v>
      </c>
      <c r="H50">
        <v>227</v>
      </c>
      <c r="I50" t="s">
        <v>499</v>
      </c>
      <c r="J50">
        <v>1504</v>
      </c>
      <c r="K50">
        <v>111</v>
      </c>
      <c r="L50" t="s">
        <v>184</v>
      </c>
      <c r="M50">
        <v>1649</v>
      </c>
      <c r="N50">
        <v>509</v>
      </c>
      <c r="O50" t="s">
        <v>500</v>
      </c>
      <c r="P50">
        <v>1591</v>
      </c>
      <c r="Q50">
        <v>62</v>
      </c>
    </row>
    <row r="51" spans="1:42">
      <c r="A51" t="s">
        <v>337</v>
      </c>
      <c r="B51" t="s">
        <v>72</v>
      </c>
      <c r="C51" t="s">
        <v>73</v>
      </c>
      <c r="D51" s="2">
        <v>1588</v>
      </c>
      <c r="E51">
        <v>128</v>
      </c>
      <c r="F51" t="s">
        <v>392</v>
      </c>
      <c r="G51">
        <v>1593</v>
      </c>
      <c r="H51">
        <v>109</v>
      </c>
      <c r="I51" t="s">
        <v>496</v>
      </c>
      <c r="J51">
        <v>1563</v>
      </c>
      <c r="K51">
        <v>24</v>
      </c>
      <c r="L51" t="s">
        <v>76</v>
      </c>
      <c r="M51">
        <v>1585</v>
      </c>
      <c r="N51">
        <v>261</v>
      </c>
      <c r="O51" t="s">
        <v>77</v>
      </c>
      <c r="P51">
        <v>1589</v>
      </c>
      <c r="Q51">
        <v>125</v>
      </c>
    </row>
    <row r="52" spans="1:42">
      <c r="A52" t="s">
        <v>106</v>
      </c>
      <c r="B52" t="s">
        <v>107</v>
      </c>
      <c r="C52" t="s">
        <v>108</v>
      </c>
      <c r="D52" s="2">
        <v>1514</v>
      </c>
      <c r="E52">
        <v>372</v>
      </c>
      <c r="F52" t="s">
        <v>109</v>
      </c>
      <c r="G52">
        <v>1514</v>
      </c>
      <c r="H52">
        <v>211</v>
      </c>
      <c r="I52" t="s">
        <v>110</v>
      </c>
      <c r="J52">
        <v>1523</v>
      </c>
      <c r="K52">
        <v>86</v>
      </c>
      <c r="L52" t="s">
        <v>505</v>
      </c>
      <c r="M52">
        <v>1469</v>
      </c>
      <c r="N52">
        <v>24</v>
      </c>
      <c r="O52" t="s">
        <v>506</v>
      </c>
      <c r="P52">
        <v>1495</v>
      </c>
      <c r="Q52">
        <v>37</v>
      </c>
    </row>
    <row r="53" spans="1:42">
      <c r="A53" t="s">
        <v>120</v>
      </c>
      <c r="B53" t="s">
        <v>121</v>
      </c>
      <c r="C53" t="s">
        <v>122</v>
      </c>
      <c r="D53" s="2">
        <v>1598</v>
      </c>
      <c r="E53">
        <v>305</v>
      </c>
      <c r="F53" t="s">
        <v>123</v>
      </c>
      <c r="G53">
        <v>1585</v>
      </c>
      <c r="H53">
        <v>149</v>
      </c>
      <c r="I53" t="s">
        <v>124</v>
      </c>
      <c r="J53">
        <v>1554</v>
      </c>
      <c r="K53">
        <v>111</v>
      </c>
      <c r="L53" t="s">
        <v>125</v>
      </c>
      <c r="M53">
        <v>1576</v>
      </c>
      <c r="N53">
        <v>204</v>
      </c>
      <c r="O53" t="s">
        <v>126</v>
      </c>
      <c r="P53">
        <v>1558</v>
      </c>
      <c r="Q53">
        <v>219</v>
      </c>
    </row>
    <row r="54" spans="1:42">
      <c r="A54" t="s">
        <v>412</v>
      </c>
      <c r="C54" t="s">
        <v>426</v>
      </c>
      <c r="D54" s="2">
        <v>1640</v>
      </c>
      <c r="E54">
        <v>103</v>
      </c>
      <c r="F54" t="s">
        <v>413</v>
      </c>
      <c r="G54">
        <v>1650</v>
      </c>
      <c r="H54">
        <v>109</v>
      </c>
      <c r="I54" t="s">
        <v>414</v>
      </c>
      <c r="J54">
        <v>1650</v>
      </c>
      <c r="K54">
        <v>275</v>
      </c>
      <c r="L54" t="s">
        <v>415</v>
      </c>
      <c r="M54">
        <v>1652</v>
      </c>
      <c r="N54">
        <v>110</v>
      </c>
      <c r="O54" t="s">
        <v>427</v>
      </c>
      <c r="P54">
        <v>1662</v>
      </c>
      <c r="Q54">
        <v>317</v>
      </c>
    </row>
    <row r="55" spans="1:42">
      <c r="A55" t="s">
        <v>588</v>
      </c>
      <c r="B55" t="s">
        <v>589</v>
      </c>
      <c r="C55" t="s">
        <v>590</v>
      </c>
      <c r="D55" s="2">
        <v>1399</v>
      </c>
      <c r="E55">
        <v>21</v>
      </c>
      <c r="F55" t="s">
        <v>116</v>
      </c>
      <c r="G55">
        <v>1517</v>
      </c>
      <c r="H55">
        <v>97</v>
      </c>
      <c r="I55" t="s">
        <v>591</v>
      </c>
      <c r="J55">
        <v>1414</v>
      </c>
      <c r="K55">
        <v>36</v>
      </c>
      <c r="L55" t="s">
        <v>610</v>
      </c>
      <c r="M55">
        <v>1439</v>
      </c>
      <c r="N55">
        <v>234</v>
      </c>
      <c r="O55" t="s">
        <v>592</v>
      </c>
      <c r="P55">
        <v>1438</v>
      </c>
      <c r="Q55">
        <v>59</v>
      </c>
      <c r="AP55" s="17"/>
    </row>
    <row r="56" spans="1:42">
      <c r="A56" t="s">
        <v>416</v>
      </c>
      <c r="C56" t="s">
        <v>650</v>
      </c>
      <c r="D56" s="2">
        <v>1358</v>
      </c>
      <c r="E56">
        <v>25</v>
      </c>
      <c r="F56" t="s">
        <v>417</v>
      </c>
      <c r="G56">
        <v>1370</v>
      </c>
      <c r="H56">
        <v>110</v>
      </c>
      <c r="I56" t="s">
        <v>674</v>
      </c>
      <c r="J56">
        <v>1537</v>
      </c>
      <c r="K56">
        <v>34</v>
      </c>
      <c r="L56" t="s">
        <v>418</v>
      </c>
      <c r="M56">
        <v>1383</v>
      </c>
      <c r="N56">
        <v>115</v>
      </c>
      <c r="O56" t="s">
        <v>651</v>
      </c>
      <c r="P56">
        <v>1461</v>
      </c>
      <c r="Q56">
        <v>115</v>
      </c>
      <c r="AP56" s="17"/>
    </row>
    <row r="57" spans="1:42">
      <c r="A57" t="s">
        <v>185</v>
      </c>
      <c r="B57" t="s">
        <v>186</v>
      </c>
      <c r="C57" t="s">
        <v>187</v>
      </c>
      <c r="D57" s="2">
        <v>1737</v>
      </c>
      <c r="E57">
        <v>343</v>
      </c>
      <c r="F57" t="s">
        <v>188</v>
      </c>
      <c r="G57">
        <v>1719</v>
      </c>
      <c r="H57">
        <v>380</v>
      </c>
      <c r="I57" t="s">
        <v>189</v>
      </c>
      <c r="J57">
        <v>1719</v>
      </c>
      <c r="K57">
        <v>359</v>
      </c>
      <c r="L57" t="s">
        <v>190</v>
      </c>
      <c r="M57">
        <v>1750</v>
      </c>
      <c r="N57">
        <v>377</v>
      </c>
      <c r="O57" t="s">
        <v>191</v>
      </c>
      <c r="P57">
        <v>1717</v>
      </c>
      <c r="Q57">
        <v>207</v>
      </c>
      <c r="AP57" s="17"/>
    </row>
    <row r="58" spans="1:42">
      <c r="A58" t="s">
        <v>593</v>
      </c>
      <c r="B58" t="s">
        <v>594</v>
      </c>
      <c r="C58" t="s">
        <v>595</v>
      </c>
      <c r="D58" s="2">
        <v>1539</v>
      </c>
      <c r="E58">
        <v>40</v>
      </c>
      <c r="F58" t="s">
        <v>596</v>
      </c>
      <c r="G58">
        <v>1503</v>
      </c>
      <c r="H58">
        <v>98</v>
      </c>
      <c r="I58" t="s">
        <v>597</v>
      </c>
      <c r="J58">
        <v>1511</v>
      </c>
      <c r="K58">
        <v>17</v>
      </c>
      <c r="L58" t="s">
        <v>598</v>
      </c>
      <c r="M58">
        <v>1539</v>
      </c>
      <c r="N58">
        <v>40</v>
      </c>
      <c r="O58" t="s">
        <v>599</v>
      </c>
      <c r="P58">
        <v>1530</v>
      </c>
      <c r="Q58">
        <v>43</v>
      </c>
      <c r="AP58" s="17"/>
    </row>
    <row r="59" spans="1:42">
      <c r="A59" t="s">
        <v>113</v>
      </c>
      <c r="B59" t="s">
        <v>114</v>
      </c>
      <c r="C59" t="s">
        <v>115</v>
      </c>
      <c r="D59" s="2">
        <v>1696</v>
      </c>
      <c r="E59">
        <v>325</v>
      </c>
      <c r="F59" t="s">
        <v>521</v>
      </c>
      <c r="G59">
        <v>1469</v>
      </c>
      <c r="H59">
        <v>58</v>
      </c>
      <c r="I59" t="s">
        <v>117</v>
      </c>
      <c r="J59">
        <v>1696</v>
      </c>
      <c r="K59">
        <v>436</v>
      </c>
      <c r="L59" t="s">
        <v>118</v>
      </c>
      <c r="M59">
        <v>1655</v>
      </c>
      <c r="N59">
        <v>303</v>
      </c>
      <c r="O59" t="s">
        <v>119</v>
      </c>
      <c r="P59">
        <v>1655</v>
      </c>
      <c r="Q59">
        <v>311</v>
      </c>
      <c r="AP59" s="17"/>
    </row>
    <row r="60" spans="1:42">
      <c r="A60" t="s">
        <v>157</v>
      </c>
      <c r="B60" t="s">
        <v>158</v>
      </c>
      <c r="C60">
        <v>957</v>
      </c>
      <c r="D60" s="2">
        <v>1509</v>
      </c>
      <c r="E60">
        <v>353</v>
      </c>
      <c r="F60" t="s">
        <v>391</v>
      </c>
      <c r="G60">
        <v>1558</v>
      </c>
      <c r="H60">
        <v>368</v>
      </c>
      <c r="I60" t="s">
        <v>159</v>
      </c>
      <c r="J60">
        <v>1509</v>
      </c>
      <c r="K60">
        <v>425</v>
      </c>
      <c r="L60" t="s">
        <v>160</v>
      </c>
      <c r="M60">
        <v>1555</v>
      </c>
      <c r="N60">
        <v>413</v>
      </c>
      <c r="O60" t="s">
        <v>535</v>
      </c>
      <c r="P60">
        <v>1427</v>
      </c>
      <c r="Q60">
        <v>24</v>
      </c>
      <c r="AP60" s="17"/>
    </row>
    <row r="61" spans="1:42">
      <c r="A61" t="s">
        <v>216</v>
      </c>
      <c r="B61" t="s">
        <v>217</v>
      </c>
      <c r="C61" t="s">
        <v>344</v>
      </c>
      <c r="D61" s="2">
        <v>1458</v>
      </c>
      <c r="E61">
        <v>37</v>
      </c>
      <c r="F61" t="s">
        <v>525</v>
      </c>
      <c r="G61">
        <v>1490</v>
      </c>
      <c r="H61">
        <v>60</v>
      </c>
      <c r="I61" t="s">
        <v>393</v>
      </c>
      <c r="J61">
        <v>1475</v>
      </c>
      <c r="K61">
        <v>163</v>
      </c>
      <c r="L61" t="s">
        <v>220</v>
      </c>
      <c r="M61">
        <v>1490</v>
      </c>
      <c r="N61">
        <v>119</v>
      </c>
      <c r="O61" t="s">
        <v>221</v>
      </c>
      <c r="P61">
        <v>1485</v>
      </c>
      <c r="Q61">
        <v>98</v>
      </c>
      <c r="AP61" s="17"/>
    </row>
    <row r="62" spans="1:42">
      <c r="A62" t="s">
        <v>211</v>
      </c>
      <c r="B62" t="s">
        <v>282</v>
      </c>
      <c r="C62" t="s">
        <v>212</v>
      </c>
      <c r="D62" s="2">
        <v>1458</v>
      </c>
      <c r="E62">
        <v>49</v>
      </c>
      <c r="F62" t="s">
        <v>333</v>
      </c>
      <c r="G62">
        <v>1495</v>
      </c>
      <c r="H62">
        <v>208</v>
      </c>
      <c r="I62" t="s">
        <v>213</v>
      </c>
      <c r="J62">
        <v>1509</v>
      </c>
      <c r="K62">
        <v>201</v>
      </c>
      <c r="L62" t="s">
        <v>214</v>
      </c>
      <c r="M62">
        <v>1532</v>
      </c>
      <c r="N62">
        <v>124</v>
      </c>
      <c r="O62" t="s">
        <v>215</v>
      </c>
      <c r="P62">
        <v>1461</v>
      </c>
      <c r="Q62">
        <v>157</v>
      </c>
    </row>
    <row r="63" spans="1:42">
      <c r="A63" t="s">
        <v>78</v>
      </c>
      <c r="B63" t="s">
        <v>79</v>
      </c>
      <c r="C63" t="s">
        <v>623</v>
      </c>
      <c r="D63" s="2">
        <v>1344</v>
      </c>
      <c r="E63">
        <v>43</v>
      </c>
      <c r="F63" t="s">
        <v>511</v>
      </c>
      <c r="G63">
        <v>1363</v>
      </c>
      <c r="H63">
        <v>312</v>
      </c>
      <c r="I63" t="s">
        <v>618</v>
      </c>
      <c r="J63">
        <v>1482</v>
      </c>
      <c r="K63">
        <v>254</v>
      </c>
      <c r="L63" t="s">
        <v>621</v>
      </c>
      <c r="M63">
        <v>1297</v>
      </c>
      <c r="N63">
        <v>46</v>
      </c>
      <c r="O63" t="s">
        <v>619</v>
      </c>
      <c r="P63">
        <v>1427</v>
      </c>
      <c r="Q63">
        <v>8</v>
      </c>
    </row>
    <row r="64" spans="1:42">
      <c r="A64" t="s">
        <v>348</v>
      </c>
      <c r="B64" t="s">
        <v>285</v>
      </c>
      <c r="C64" t="s">
        <v>286</v>
      </c>
      <c r="D64" s="2">
        <v>1562</v>
      </c>
      <c r="E64">
        <v>221</v>
      </c>
      <c r="F64" t="s">
        <v>514</v>
      </c>
      <c r="G64">
        <v>1507</v>
      </c>
      <c r="H64">
        <v>193</v>
      </c>
      <c r="I64" t="s">
        <v>288</v>
      </c>
      <c r="J64">
        <v>1605</v>
      </c>
      <c r="K64">
        <v>72</v>
      </c>
      <c r="L64" t="s">
        <v>513</v>
      </c>
      <c r="M64">
        <v>1605</v>
      </c>
      <c r="N64">
        <v>72</v>
      </c>
      <c r="O64" t="s">
        <v>332</v>
      </c>
      <c r="P64">
        <v>1615</v>
      </c>
      <c r="Q64">
        <v>70</v>
      </c>
    </row>
    <row r="65" spans="1:48">
      <c r="A65" t="s">
        <v>419</v>
      </c>
      <c r="C65" t="s">
        <v>420</v>
      </c>
      <c r="D65" s="2">
        <v>1443</v>
      </c>
      <c r="E65">
        <v>89</v>
      </c>
      <c r="F65" t="s">
        <v>653</v>
      </c>
      <c r="G65">
        <v>1343</v>
      </c>
      <c r="H65">
        <v>29</v>
      </c>
      <c r="I65" t="s">
        <v>652</v>
      </c>
      <c r="J65">
        <v>1441</v>
      </c>
      <c r="K65">
        <v>79</v>
      </c>
      <c r="L65" t="s">
        <v>421</v>
      </c>
      <c r="M65">
        <v>1437</v>
      </c>
      <c r="N65">
        <v>71</v>
      </c>
      <c r="O65" t="s">
        <v>398</v>
      </c>
      <c r="P65">
        <v>1473</v>
      </c>
      <c r="Q65">
        <v>69</v>
      </c>
    </row>
    <row r="66" spans="1:48">
      <c r="A66" t="s">
        <v>8</v>
      </c>
      <c r="B66" t="s">
        <v>9</v>
      </c>
      <c r="C66" t="s">
        <v>10</v>
      </c>
      <c r="D66" s="2">
        <v>1440</v>
      </c>
      <c r="E66">
        <v>256</v>
      </c>
      <c r="F66" t="s">
        <v>11</v>
      </c>
      <c r="G66">
        <v>1523</v>
      </c>
      <c r="H66">
        <v>289</v>
      </c>
      <c r="I66" t="s">
        <v>12</v>
      </c>
      <c r="J66">
        <v>1435</v>
      </c>
      <c r="K66">
        <v>252</v>
      </c>
      <c r="L66" t="s">
        <v>13</v>
      </c>
      <c r="M66">
        <v>1449</v>
      </c>
      <c r="N66">
        <v>188</v>
      </c>
      <c r="O66" t="s">
        <v>14</v>
      </c>
      <c r="P66">
        <v>1455</v>
      </c>
      <c r="Q66">
        <v>242</v>
      </c>
    </row>
    <row r="73" spans="1:48">
      <c r="AM73"/>
      <c r="AP73"/>
      <c r="AS73"/>
      <c r="AV73"/>
    </row>
    <row r="78" spans="1:48">
      <c r="D78"/>
    </row>
    <row r="79" spans="1:48">
      <c r="C79" s="3"/>
      <c r="D79"/>
    </row>
    <row r="80" spans="1:48">
      <c r="C80">
        <v>28</v>
      </c>
      <c r="D80" t="str">
        <f>INDEX(A1:A66,C80)</f>
        <v>Golden Guardians</v>
      </c>
    </row>
    <row r="81" spans="3:11">
      <c r="C81">
        <v>20</v>
      </c>
      <c r="D81" t="str">
        <f>INDEX(A1:A66,C81)</f>
        <v>FlyQuest</v>
      </c>
    </row>
    <row r="82" spans="3:11">
      <c r="D82"/>
    </row>
    <row r="83" spans="3:11">
      <c r="D83"/>
    </row>
    <row r="84" spans="3:11">
      <c r="D84"/>
    </row>
    <row r="85" spans="3:11">
      <c r="D85"/>
    </row>
    <row r="86" spans="3:11">
      <c r="C86" t="s">
        <v>258</v>
      </c>
      <c r="D86">
        <v>1</v>
      </c>
    </row>
    <row r="87" spans="3:11">
      <c r="C87" t="s">
        <v>259</v>
      </c>
      <c r="D87">
        <f>IF(D86=1,1,IF(D86=2,3,5))</f>
        <v>1</v>
      </c>
      <c r="E87" t="s">
        <v>261</v>
      </c>
    </row>
    <row r="88" spans="3:11">
      <c r="C88" t="s">
        <v>260</v>
      </c>
      <c r="D88"/>
    </row>
    <row r="89" spans="3:11">
      <c r="D89"/>
    </row>
    <row r="90" spans="3:11">
      <c r="C90" t="s">
        <v>0</v>
      </c>
      <c r="D90">
        <f>E90</f>
        <v>76</v>
      </c>
      <c r="E90">
        <v>76</v>
      </c>
      <c r="K90" s="17"/>
    </row>
    <row r="91" spans="3:11">
      <c r="C91" t="s">
        <v>370</v>
      </c>
      <c r="D91" s="15">
        <f>IF($D$122=2,(Laskin!D12+D90)*E114,Laskin!D12+D90)</f>
        <v>1566.8</v>
      </c>
    </row>
    <row r="92" spans="3:11">
      <c r="C92" t="s">
        <v>371</v>
      </c>
      <c r="D92" s="15">
        <f>IF(D122=2,Laskin!D12*E114,Laskin!D12)</f>
        <v>1490.8</v>
      </c>
      <c r="I92" s="16" t="s">
        <v>265</v>
      </c>
      <c r="J92" s="17">
        <f>J95+J96</f>
        <v>0.37290904201234532</v>
      </c>
    </row>
    <row r="93" spans="3:11">
      <c r="C93" t="s">
        <v>372</v>
      </c>
      <c r="D93" s="15">
        <f>IF(D122=2,(Laskin!L12+D90)*F114,Laskin!L12+D90)</f>
        <v>1654.8</v>
      </c>
      <c r="I93" s="16" t="s">
        <v>266</v>
      </c>
      <c r="J93" s="17">
        <f>1-J92</f>
        <v>0.62709095798765468</v>
      </c>
    </row>
    <row r="94" spans="3:11">
      <c r="C94" t="s">
        <v>373</v>
      </c>
      <c r="D94" s="15">
        <f>IF(D122=2,Laskin!L12*F114,Laskin!L12)</f>
        <v>1578.8</v>
      </c>
      <c r="J94" s="17"/>
    </row>
    <row r="95" spans="3:11">
      <c r="I95" s="18" t="s">
        <v>271</v>
      </c>
      <c r="J95" s="17">
        <f>D97*D101</f>
        <v>0.13520559202354251</v>
      </c>
    </row>
    <row r="96" spans="3:11">
      <c r="I96" s="18" t="s">
        <v>272</v>
      </c>
      <c r="J96" s="17">
        <f>D97*D100*D97+D98*D101*D97</f>
        <v>0.23770344998880277</v>
      </c>
    </row>
    <row r="97" spans="3:10">
      <c r="C97" t="s">
        <v>262</v>
      </c>
      <c r="D97" s="3">
        <f>1/(1+(10^((D94-(D91))/400)))</f>
        <v>0.48273747556762381</v>
      </c>
      <c r="E97">
        <v>97</v>
      </c>
      <c r="I97" s="18" t="s">
        <v>273</v>
      </c>
      <c r="J97" s="17">
        <f>1-J98-J95-J96</f>
        <v>0.25470383558458398</v>
      </c>
    </row>
    <row r="98" spans="3:10">
      <c r="C98" t="s">
        <v>263</v>
      </c>
      <c r="D98" s="3">
        <f>1-D97</f>
        <v>0.51726252443237619</v>
      </c>
      <c r="E98">
        <v>98</v>
      </c>
      <c r="I98" s="18" t="s">
        <v>274</v>
      </c>
      <c r="J98" s="17">
        <f>D98*D100</f>
        <v>0.3723871224030707</v>
      </c>
    </row>
    <row r="99" spans="3:10">
      <c r="I99" s="19"/>
      <c r="J99" s="17">
        <f>SUM(J95:J98)</f>
        <v>1</v>
      </c>
    </row>
    <row r="100" spans="3:10">
      <c r="C100" t="s">
        <v>264</v>
      </c>
      <c r="D100" s="3">
        <f>1/(1+(10^((D92-(D93))/400)))</f>
        <v>0.71991900594715197</v>
      </c>
      <c r="E100">
        <v>100</v>
      </c>
      <c r="J100" s="17"/>
    </row>
    <row r="101" spans="3:10">
      <c r="C101" t="s">
        <v>270</v>
      </c>
      <c r="D101" s="3">
        <f>1-D100</f>
        <v>0.28008099405284803</v>
      </c>
      <c r="E101">
        <v>101</v>
      </c>
      <c r="J101" s="17"/>
    </row>
    <row r="105" spans="3:10">
      <c r="C105" t="str">
        <f>Laskin!E26</f>
        <v>lose</v>
      </c>
      <c r="D105" s="3" t="str">
        <f>Laskin!K26</f>
        <v>win</v>
      </c>
      <c r="E105">
        <f>IF(C105="win",1,0)</f>
        <v>0</v>
      </c>
      <c r="F105">
        <f>IF(D105="win",1,0)</f>
        <v>1</v>
      </c>
    </row>
    <row r="106" spans="3:10">
      <c r="C106" t="str">
        <f>Laskin!E27</f>
        <v>lose</v>
      </c>
      <c r="D106" s="3" t="str">
        <f>Laskin!K27</f>
        <v>win</v>
      </c>
      <c r="E106">
        <f t="shared" ref="E106:E109" si="0">IF(C106="win",1,0)</f>
        <v>0</v>
      </c>
      <c r="F106">
        <f t="shared" ref="F106:F109" si="1">IF(D106="win",1,0)</f>
        <v>1</v>
      </c>
    </row>
    <row r="107" spans="3:10">
      <c r="C107" t="str">
        <f>Laskin!E28</f>
        <v>lose</v>
      </c>
      <c r="D107" s="3" t="str">
        <f>Laskin!K28</f>
        <v>lose</v>
      </c>
      <c r="E107">
        <f t="shared" si="0"/>
        <v>0</v>
      </c>
      <c r="F107">
        <f t="shared" si="1"/>
        <v>0</v>
      </c>
    </row>
    <row r="108" spans="3:10">
      <c r="C108" t="str">
        <f>Laskin!E29</f>
        <v>lose</v>
      </c>
      <c r="D108" s="3" t="str">
        <f>Laskin!K29</f>
        <v>lose</v>
      </c>
      <c r="E108">
        <f t="shared" si="0"/>
        <v>0</v>
      </c>
      <c r="F108">
        <f t="shared" si="1"/>
        <v>0</v>
      </c>
    </row>
    <row r="109" spans="3:10">
      <c r="C109" t="str">
        <f>Laskin!E30</f>
        <v>lose</v>
      </c>
      <c r="D109" s="3" t="str">
        <f>Laskin!K30</f>
        <v>win</v>
      </c>
      <c r="E109">
        <f t="shared" si="0"/>
        <v>0</v>
      </c>
      <c r="F109">
        <f t="shared" si="1"/>
        <v>1</v>
      </c>
    </row>
    <row r="113" spans="3:10">
      <c r="C113" t="s">
        <v>436</v>
      </c>
      <c r="D113" s="3">
        <v>1</v>
      </c>
      <c r="E113">
        <v>1</v>
      </c>
      <c r="F113">
        <v>1</v>
      </c>
      <c r="I113" t="s">
        <v>666</v>
      </c>
    </row>
    <row r="114" spans="3:10">
      <c r="C114" t="s">
        <v>437</v>
      </c>
      <c r="D114" s="3">
        <v>0.9</v>
      </c>
      <c r="E114">
        <f>INDEX($D$113:$D$120,E113)</f>
        <v>1</v>
      </c>
      <c r="F114">
        <f>INDEX($D$113:$D$120,F113)</f>
        <v>1</v>
      </c>
      <c r="I114" t="s">
        <v>667</v>
      </c>
      <c r="J114">
        <f>D97*D101*D97+D97*D100*D97*D101+D98*D101*D97*D101+D97*D101*D98*D101+D97*D101*D98*D100*D97+D97*D100*D97*D100*D97+D98*D100*D97*D101*D97+D98*D101*D98*D101*D97+D98*D101*D97*D100*D97+D97*D100*D98*D101*D97</f>
        <v>0.31709042564934459</v>
      </c>
    </row>
    <row r="115" spans="3:10">
      <c r="C115" t="s">
        <v>438</v>
      </c>
      <c r="D115" s="3">
        <v>0.95</v>
      </c>
      <c r="I115" t="s">
        <v>668</v>
      </c>
      <c r="J115">
        <f>D98*D100*D98+D98*D101*D98*D100+D97*D100*D98*D100+D98*D100*D97*D100+D98*D100*D97*D101*D98+D98*D101*D98*D101*D98+D97*D101*D98*D100*D98+D97*D100*D97*D100*D98+D97*D100*D98*D101*D98+D98*D101*D97*D100*D98</f>
        <v>0.68290957435065525</v>
      </c>
    </row>
    <row r="116" spans="3:10">
      <c r="C116" t="s">
        <v>439</v>
      </c>
      <c r="D116" s="3">
        <v>1</v>
      </c>
    </row>
    <row r="117" spans="3:10">
      <c r="C117" t="s">
        <v>440</v>
      </c>
      <c r="D117" s="3">
        <v>1</v>
      </c>
    </row>
    <row r="118" spans="3:10">
      <c r="C118" t="s">
        <v>441</v>
      </c>
      <c r="D118" s="3">
        <v>0.8</v>
      </c>
    </row>
    <row r="119" spans="3:10">
      <c r="C119" t="s">
        <v>442</v>
      </c>
      <c r="D119" s="3">
        <v>0.7</v>
      </c>
    </row>
    <row r="120" spans="3:10">
      <c r="C120" t="s">
        <v>443</v>
      </c>
      <c r="D120" s="3">
        <v>0.9</v>
      </c>
    </row>
    <row r="122" spans="3:10">
      <c r="C122" t="s">
        <v>444</v>
      </c>
      <c r="D122" s="3">
        <v>1</v>
      </c>
    </row>
    <row r="123" spans="3:10">
      <c r="C123" t="s">
        <v>445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A1:P116"/>
  <sheetViews>
    <sheetView tabSelected="1" zoomScale="90" zoomScaleNormal="90" workbookViewId="0">
      <selection activeCell="H10" sqref="H10"/>
    </sheetView>
  </sheetViews>
  <sheetFormatPr defaultColWidth="10.875" defaultRowHeight="15.75"/>
  <cols>
    <col min="1" max="2" width="10.875" style="1"/>
    <col min="3" max="4" width="12.375" style="1" customWidth="1"/>
    <col min="5" max="5" width="11" style="1" bestFit="1" customWidth="1"/>
    <col min="6" max="6" width="10.875" style="1"/>
    <col min="7" max="7" width="10.625" style="1" bestFit="1" customWidth="1"/>
    <col min="8" max="8" width="10.875" style="1"/>
    <col min="9" max="10" width="12.375" style="1" customWidth="1"/>
    <col min="11" max="11" width="13.5" style="1" customWidth="1"/>
    <col min="12" max="12" width="10.875" style="1"/>
    <col min="13" max="13" width="11" style="1" bestFit="1" customWidth="1"/>
    <col min="14" max="14" width="10.875" style="1"/>
    <col min="15" max="15" width="10.625" style="1" bestFit="1" customWidth="1"/>
    <col min="16" max="16384" width="10.875" style="1"/>
  </cols>
  <sheetData>
    <row r="1" spans="2:16" ht="21">
      <c r="D1" s="13" t="s">
        <v>0</v>
      </c>
      <c r="E1" s="13"/>
      <c r="F1" s="13"/>
      <c r="G1" s="108" t="s">
        <v>435</v>
      </c>
      <c r="H1" s="109" t="s">
        <v>435</v>
      </c>
      <c r="K1" s="14" t="s">
        <v>1</v>
      </c>
    </row>
    <row r="3" spans="2:16">
      <c r="G3" s="1">
        <f>Data!E114</f>
        <v>1</v>
      </c>
      <c r="H3" s="1">
        <f>Data!F114</f>
        <v>1</v>
      </c>
    </row>
    <row r="5" spans="2:16">
      <c r="C5" s="74" t="s">
        <v>255</v>
      </c>
      <c r="D5" s="86" t="s">
        <v>256</v>
      </c>
      <c r="E5" s="87" t="s">
        <v>257</v>
      </c>
      <c r="F5" s="91"/>
      <c r="G5" s="91"/>
      <c r="H5" s="91"/>
      <c r="K5" s="105" t="s">
        <v>255</v>
      </c>
      <c r="L5" s="106" t="s">
        <v>256</v>
      </c>
      <c r="M5" s="107" t="s">
        <v>257</v>
      </c>
      <c r="N5" s="91"/>
      <c r="O5" s="91"/>
      <c r="P5" s="91"/>
    </row>
    <row r="6" spans="2:16">
      <c r="B6" s="37" t="s">
        <v>250</v>
      </c>
      <c r="C6" s="7" t="str">
        <f>VLOOKUP(Data!$D$80,Data!Excel_data,3,FALSE)</f>
        <v>Lourlo</v>
      </c>
      <c r="D6" s="84">
        <f>VLOOKUP(Data!$D$80,Data!Excel_data,4,FALSE)</f>
        <v>1452</v>
      </c>
      <c r="E6" s="8">
        <f>VLOOKUP(Data!$D$80,Data!Excel_data,5,FALSE)</f>
        <v>228</v>
      </c>
      <c r="F6" s="91"/>
      <c r="G6" s="91"/>
      <c r="H6" s="91"/>
      <c r="I6" s="36"/>
      <c r="J6" s="37" t="s">
        <v>250</v>
      </c>
      <c r="K6" s="7" t="str">
        <f>VLOOKUP(Data!$D$81,Data!Excel_data,3,FALSE)</f>
        <v>Flame</v>
      </c>
      <c r="L6" s="84">
        <f>VLOOKUP(Data!$D$81,Data!Excel_data,4,FALSE)</f>
        <v>1602</v>
      </c>
      <c r="M6" s="8">
        <f>VLOOKUP(Data!$D$81,Data!Excel_data,5,FALSE)</f>
        <v>203</v>
      </c>
      <c r="N6" s="91"/>
      <c r="O6" s="91"/>
      <c r="P6" s="91"/>
    </row>
    <row r="7" spans="2:16">
      <c r="B7" s="38" t="s">
        <v>251</v>
      </c>
      <c r="C7" s="9" t="str">
        <f>VLOOKUP(Data!$D$80,Data!Excel_data,6,FALSE)</f>
        <v>Contractz</v>
      </c>
      <c r="D7" s="67">
        <f>VLOOKUP(Data!$D$80,Data!Excel_data,7,FALSE)</f>
        <v>1557</v>
      </c>
      <c r="E7" s="10">
        <f>VLOOKUP(Data!$D$80,Data!Excel_data,8,FALSE)</f>
        <v>166</v>
      </c>
      <c r="F7" s="91"/>
      <c r="G7" s="91"/>
      <c r="H7" s="91"/>
      <c r="I7" s="36"/>
      <c r="J7" s="38" t="s">
        <v>251</v>
      </c>
      <c r="K7" s="9" t="str">
        <f>VLOOKUP(Data!$D$81,Data!Excel_data,6,FALSE)</f>
        <v>Santorin</v>
      </c>
      <c r="L7" s="67">
        <f>VLOOKUP(Data!$D$81,Data!Excel_data,7,FALSE)</f>
        <v>1542</v>
      </c>
      <c r="M7" s="10">
        <f>VLOOKUP(Data!$D$81,Data!Excel_data,8,FALSE)</f>
        <v>221</v>
      </c>
      <c r="N7" s="91"/>
      <c r="O7" s="91"/>
      <c r="P7" s="91"/>
    </row>
    <row r="8" spans="2:16">
      <c r="B8" s="38" t="s">
        <v>252</v>
      </c>
      <c r="C8" s="9" t="str">
        <f>VLOOKUP(Data!$D$80,Data!Excel_data,9,FALSE)</f>
        <v>Mickey</v>
      </c>
      <c r="D8" s="67">
        <f>VLOOKUP(Data!$D$80,Data!Excel_data,10,FALSE)</f>
        <v>1515</v>
      </c>
      <c r="E8" s="10">
        <f>VLOOKUP(Data!$D$80,Data!Excel_data,11,FALSE)</f>
        <v>277</v>
      </c>
      <c r="F8" s="91"/>
      <c r="G8" s="91"/>
      <c r="H8" s="91"/>
      <c r="I8" s="36"/>
      <c r="J8" s="38" t="s">
        <v>252</v>
      </c>
      <c r="K8" s="9" t="str">
        <f>VLOOKUP(Data!$D$81,Data!Excel_data,9,FALSE)</f>
        <v>Keane</v>
      </c>
      <c r="L8" s="67">
        <f>VLOOKUP(Data!$D$81,Data!Excel_data,10,FALSE)</f>
        <v>1591</v>
      </c>
      <c r="M8" s="10">
        <f>VLOOKUP(Data!$D$81,Data!Excel_data,11,FALSE)</f>
        <v>259</v>
      </c>
      <c r="N8" s="91"/>
      <c r="O8" s="91"/>
      <c r="P8" s="91"/>
    </row>
    <row r="9" spans="2:16">
      <c r="B9" s="38" t="s">
        <v>253</v>
      </c>
      <c r="C9" s="9" t="str">
        <f>VLOOKUP(Data!$D$80,Data!Excel_data,12,FALSE)</f>
        <v>Deftly</v>
      </c>
      <c r="D9" s="67">
        <f>VLOOKUP(Data!$D$80,Data!Excel_data,13,FALSE)</f>
        <v>1477</v>
      </c>
      <c r="E9" s="10">
        <f>VLOOKUP(Data!$D$80,Data!Excel_data,14,FALSE)</f>
        <v>99</v>
      </c>
      <c r="F9" s="91"/>
      <c r="G9" s="91"/>
      <c r="H9" s="91"/>
      <c r="I9" s="36"/>
      <c r="J9" s="38" t="s">
        <v>253</v>
      </c>
      <c r="K9" s="9" t="str">
        <f>VLOOKUP(Data!$D$81,Data!Excel_data,12,FALSE)</f>
        <v>WildTurtle</v>
      </c>
      <c r="L9" s="67">
        <f>VLOOKUP(Data!$D$81,Data!Excel_data,13,FALSE)</f>
        <v>1575</v>
      </c>
      <c r="M9" s="10">
        <f>VLOOKUP(Data!$D$81,Data!Excel_data,14,FALSE)</f>
        <v>411</v>
      </c>
      <c r="N9" s="91"/>
      <c r="O9" s="91"/>
      <c r="P9" s="91"/>
    </row>
    <row r="10" spans="2:16">
      <c r="B10" s="39" t="s">
        <v>254</v>
      </c>
      <c r="C10" s="11" t="str">
        <f>VLOOKUP(Data!$D$80,Data!Excel_data,15,FALSE)</f>
        <v>Matt</v>
      </c>
      <c r="D10" s="85">
        <f>VLOOKUP(Data!$D$80,Data!Excel_data,16,FALSE)</f>
        <v>1453</v>
      </c>
      <c r="E10" s="12">
        <f>VLOOKUP(Data!$D$80,Data!Excel_data,17,FALSE)</f>
        <v>218</v>
      </c>
      <c r="F10" s="91"/>
      <c r="G10" s="91"/>
      <c r="H10" s="91"/>
      <c r="I10" s="36"/>
      <c r="J10" s="39" t="s">
        <v>254</v>
      </c>
      <c r="K10" s="11" t="str">
        <f>VLOOKUP(Data!$D$81,Data!Excel_data,15,FALSE)</f>
        <v>JayJ</v>
      </c>
      <c r="L10" s="85">
        <f>VLOOKUP(Data!$D$81,Data!Excel_data,16,FALSE)</f>
        <v>1584</v>
      </c>
      <c r="M10" s="12">
        <f>VLOOKUP(Data!$D$81,Data!Excel_data,17,FALSE)</f>
        <v>44</v>
      </c>
      <c r="N10" s="91"/>
      <c r="O10" s="91"/>
      <c r="P10" s="91"/>
    </row>
    <row r="12" spans="2:16">
      <c r="C12" s="5" t="s">
        <v>275</v>
      </c>
      <c r="D12" s="6">
        <f>AVERAGE(D6:D10)</f>
        <v>1490.8</v>
      </c>
      <c r="E12" s="5"/>
      <c r="F12" s="6"/>
      <c r="K12" s="5" t="s">
        <v>275</v>
      </c>
      <c r="L12" s="6">
        <f>AVERAGE(L6:L10)</f>
        <v>1578.8</v>
      </c>
      <c r="N12" s="6"/>
    </row>
    <row r="14" spans="2:16">
      <c r="D14" s="29" t="s">
        <v>268</v>
      </c>
      <c r="E14" s="30" t="s">
        <v>269</v>
      </c>
      <c r="J14" s="69" t="s">
        <v>268</v>
      </c>
      <c r="K14" s="70" t="s">
        <v>269</v>
      </c>
    </row>
    <row r="15" spans="2:16">
      <c r="C15" s="74" t="s">
        <v>267</v>
      </c>
      <c r="D15" s="77">
        <f>IF(Data!D87=1,Data!D97,IF(Data!D87=3,Data!J95+Data!J96,Data!J114))</f>
        <v>0.48273747556762381</v>
      </c>
      <c r="E15" s="78">
        <f>1/D15</f>
        <v>2.0715193052376062</v>
      </c>
      <c r="G15" s="4" t="s">
        <v>0</v>
      </c>
      <c r="H15" s="57">
        <f>Data!D90</f>
        <v>76</v>
      </c>
      <c r="J15" s="77">
        <f>IF(Data!D87=1,Data!D98,IF(Data!D87=3,Data!J93,Data!J115))</f>
        <v>0.51726252443237619</v>
      </c>
      <c r="K15" s="78">
        <f>1/J15</f>
        <v>1.9332543007969911</v>
      </c>
      <c r="L15" s="41" t="s">
        <v>267</v>
      </c>
    </row>
    <row r="16" spans="2:16">
      <c r="C16" s="75" t="str">
        <f>IF(Data!D87=3,"+1.5","")</f>
        <v/>
      </c>
      <c r="D16" s="79" t="str">
        <f>IF(Data!D87=3,Data!J96+Data!J95+Data!J97,"")</f>
        <v/>
      </c>
      <c r="E16" s="20" t="str">
        <f>IF(D16&lt;&gt;"",1/D16,"")</f>
        <v/>
      </c>
      <c r="J16" s="79" t="str">
        <f>IF(Data!D87=3,Data!J97+Data!J98+Data!J96,"")</f>
        <v/>
      </c>
      <c r="K16" s="20" t="str">
        <f>IF(J16&lt;&gt;"",1/J16,"")</f>
        <v/>
      </c>
      <c r="L16" s="42" t="str">
        <f>IF(Data!D87=3,"+1.5","")</f>
        <v/>
      </c>
    </row>
    <row r="17" spans="1:13">
      <c r="C17" s="76" t="str">
        <f>IF(Data!D87=3,"-1.5","")</f>
        <v/>
      </c>
      <c r="D17" s="81" t="str">
        <f>IF(Data!D87=3,Data!J95,"")</f>
        <v/>
      </c>
      <c r="E17" s="82" t="str">
        <f>IF(D17&lt;&gt;"",1/D17,"")</f>
        <v/>
      </c>
      <c r="J17" s="81" t="str">
        <f>IF(Data!D87=3,Data!J98,"")</f>
        <v/>
      </c>
      <c r="K17" s="82" t="str">
        <f>IF(J17&lt;&gt;"",1/J17,"")</f>
        <v/>
      </c>
      <c r="L17" s="43" t="str">
        <f>IF(Data!D87=3,"-1.5","")</f>
        <v/>
      </c>
    </row>
    <row r="18" spans="1:13">
      <c r="C18" s="67"/>
      <c r="D18" s="40"/>
      <c r="E18" s="40"/>
      <c r="F18" s="80"/>
      <c r="H18" s="63"/>
      <c r="I18" s="67"/>
      <c r="J18" s="40"/>
      <c r="K18" s="80"/>
    </row>
    <row r="19" spans="1:13">
      <c r="B19" s="67"/>
      <c r="D19" s="88" t="str">
        <f>VLOOKUP(Data!$D$80,Data!Excel_data,2,FALSE)</f>
        <v>GGS</v>
      </c>
      <c r="E19" s="88" t="str">
        <f>VLOOKUP(Data!$D$81,Data!Excel_data,2,FALSE)</f>
        <v>FLY</v>
      </c>
      <c r="J19" s="68" t="s">
        <v>268</v>
      </c>
      <c r="K19" s="68" t="s">
        <v>269</v>
      </c>
    </row>
    <row r="20" spans="1:13">
      <c r="C20" s="88" t="s">
        <v>375</v>
      </c>
      <c r="D20" s="72">
        <f>Data!D97</f>
        <v>0.48273747556762381</v>
      </c>
      <c r="E20" s="72">
        <f>Data!D98</f>
        <v>0.51726252443237619</v>
      </c>
      <c r="F20" s="73">
        <f>1/D20</f>
        <v>2.0715193052376062</v>
      </c>
      <c r="G20" s="73">
        <f>1/E20</f>
        <v>1.9332543007969911</v>
      </c>
      <c r="I20" s="66" t="str">
        <f>IF(Data!D87=3,"Over 2,5","")</f>
        <v/>
      </c>
      <c r="J20" s="72" t="str">
        <f>IF(Data!D87=3,Data!J96+Data!J97,"")</f>
        <v/>
      </c>
      <c r="K20" s="73" t="str">
        <f>IF(J20&lt;&gt;"",1/J20,"")</f>
        <v/>
      </c>
    </row>
    <row r="21" spans="1:13">
      <c r="C21" s="88" t="s">
        <v>374</v>
      </c>
      <c r="D21" s="72">
        <f>Data!D101</f>
        <v>0.28008099405284803</v>
      </c>
      <c r="E21" s="72">
        <f>Data!D100</f>
        <v>0.71991900594715197</v>
      </c>
      <c r="F21" s="73">
        <f t="shared" ref="F21:F22" si="0">1/D21</f>
        <v>3.5703957827688644</v>
      </c>
      <c r="G21" s="73">
        <f>1/E21</f>
        <v>1.3890451449942804</v>
      </c>
      <c r="I21" s="66" t="str">
        <f>IF(Data!D87=3,"Under 2,5","")</f>
        <v/>
      </c>
      <c r="J21" s="72" t="str">
        <f>IF(Data!D87=3,Data!J98+Data!J95,"")</f>
        <v/>
      </c>
      <c r="K21" s="73" t="str">
        <f>IF(J21&lt;&gt;"",1/J21,"")</f>
        <v/>
      </c>
    </row>
    <row r="22" spans="1:13">
      <c r="C22" s="88" t="s">
        <v>376</v>
      </c>
      <c r="D22" s="72">
        <f>D20</f>
        <v>0.48273747556762381</v>
      </c>
      <c r="E22" s="72">
        <f>E20</f>
        <v>0.51726252443237619</v>
      </c>
      <c r="F22" s="73">
        <f t="shared" si="0"/>
        <v>2.0715193052376062</v>
      </c>
      <c r="G22" s="73">
        <f t="shared" ref="G22" si="1">1/E22</f>
        <v>1.9332543007969911</v>
      </c>
      <c r="H22" s="71"/>
    </row>
    <row r="23" spans="1:13">
      <c r="C23" s="21"/>
      <c r="D23" s="21"/>
      <c r="E23" s="21"/>
      <c r="I23" s="21"/>
      <c r="J23" s="21"/>
    </row>
    <row r="24" spans="1:13">
      <c r="A24" s="21"/>
      <c r="C24" s="111" t="str">
        <f>Data!D80&amp;" last 5 games:"</f>
        <v>Golden Guardians last 5 games:</v>
      </c>
      <c r="D24" s="111"/>
      <c r="E24" s="111"/>
      <c r="F24" s="111"/>
      <c r="G24" s="111"/>
      <c r="I24" s="111" t="str">
        <f>Data!D81&amp;" last 5 games:"</f>
        <v>FlyQuest last 5 games:</v>
      </c>
      <c r="J24" s="111"/>
      <c r="K24" s="111"/>
      <c r="L24" s="111"/>
      <c r="M24" s="111"/>
    </row>
    <row r="25" spans="1:13">
      <c r="A25" s="21"/>
      <c r="C25" s="121" t="s">
        <v>363</v>
      </c>
      <c r="D25" s="121"/>
      <c r="E25" s="68" t="s">
        <v>364</v>
      </c>
      <c r="F25" s="121" t="s">
        <v>365</v>
      </c>
      <c r="G25" s="121"/>
      <c r="I25" s="121" t="s">
        <v>363</v>
      </c>
      <c r="J25" s="121"/>
      <c r="K25" s="68" t="s">
        <v>364</v>
      </c>
      <c r="L25" s="121" t="s">
        <v>365</v>
      </c>
      <c r="M25" s="121"/>
    </row>
    <row r="26" spans="1:13">
      <c r="A26" s="21"/>
      <c r="C26" s="122" t="str">
        <f>VLOOKUP(Data!$D$80,Last_games!Team_last_game_data_1,14,FALSE)</f>
        <v>Lourlo,Contractz,Mickey,Deftly,Matt</v>
      </c>
      <c r="D26" s="122"/>
      <c r="E26" s="83" t="str">
        <f>VLOOKUP(Data!$D$80,Last_games!Team_last_game_data_1,15,FALSE)</f>
        <v>lose</v>
      </c>
      <c r="F26" s="123" t="str">
        <f>VLOOKUP(Data!$D$80,Last_games!Team_last_game_data_1,16,FALSE)</f>
        <v>Clutch Gaming</v>
      </c>
      <c r="G26" s="123"/>
      <c r="I26" s="122" t="str">
        <f>VLOOKUP(Data!$D$81,Last_games!Team_last_game_data_1,14,FALSE)</f>
        <v>Flame,Santorin,Keane,WildTurtle,JayJ</v>
      </c>
      <c r="J26" s="122"/>
      <c r="K26" s="83" t="str">
        <f>VLOOKUP(Data!$D$81,Last_games!Team_last_game_data_1,15,FALSE)</f>
        <v>win</v>
      </c>
      <c r="L26" s="123" t="str">
        <f>VLOOKUP(Data!$D$81,Last_games!Team_last_game_data_1,16,FALSE)</f>
        <v>CLG</v>
      </c>
      <c r="M26" s="123"/>
    </row>
    <row r="27" spans="1:13">
      <c r="A27" s="21"/>
      <c r="C27" s="122" t="str">
        <f>VLOOKUP(Data!$D$80,Last_games!Team_last_game_data_1,11,FALSE)</f>
        <v>Lourlo,Contractz,Mickey,Deftly,Matt</v>
      </c>
      <c r="D27" s="122"/>
      <c r="E27" s="83" t="str">
        <f>VLOOKUP(Data!$D$80,Last_games!Team_last_game_data_1,12,FALSE)</f>
        <v>lose</v>
      </c>
      <c r="F27" s="123" t="str">
        <f>VLOOKUP(Data!$D$80,Last_games!Team_last_game_data_1,13,FALSE)</f>
        <v>Cloud 9</v>
      </c>
      <c r="G27" s="123"/>
      <c r="I27" s="122" t="str">
        <f>VLOOKUP(Data!$D$81,Last_games!Team_last_game_data_1,11,FALSE)</f>
        <v>Flame,Santorin,Keane,WildTurtle,JayJ</v>
      </c>
      <c r="J27" s="122"/>
      <c r="K27" s="83" t="str">
        <f>VLOOKUP(Data!$D$81,Last_games!Team_last_game_data_1,12,FALSE)</f>
        <v>win</v>
      </c>
      <c r="L27" s="123" t="str">
        <f>VLOOKUP(Data!$D$81,Last_games!Team_last_game_data_1,13,FALSE)</f>
        <v>Clutch Gaming</v>
      </c>
      <c r="M27" s="123"/>
    </row>
    <row r="28" spans="1:13">
      <c r="A28" s="21"/>
      <c r="C28" s="122" t="str">
        <f>VLOOKUP(Data!$D$80,Last_games!Team_last_game_data_1,8,FALSE)</f>
        <v>Lourlo,Contractz,Mickey,Deftly,Matt</v>
      </c>
      <c r="D28" s="122"/>
      <c r="E28" s="83" t="str">
        <f>VLOOKUP(Data!$D$80,Last_games!Team_last_game_data_1,9,FALSE)</f>
        <v>lose</v>
      </c>
      <c r="F28" s="123" t="str">
        <f>VLOOKUP(Data!$D$80,Last_games!Team_last_game_data_1,10,FALSE)</f>
        <v>100 Thieves</v>
      </c>
      <c r="G28" s="123"/>
      <c r="I28" s="122" t="str">
        <f>VLOOKUP(Data!$D$81,Last_games!Team_last_game_data_1,8,FALSE)</f>
        <v>Flame,Santorin,Keane,WildTurtle,JayJ</v>
      </c>
      <c r="J28" s="122"/>
      <c r="K28" s="83" t="str">
        <f>VLOOKUP(Data!$D$81,Last_games!Team_last_game_data_1,9,FALSE)</f>
        <v>lose</v>
      </c>
      <c r="L28" s="123" t="str">
        <f>VLOOKUP(Data!$D$81,Last_games!Team_last_game_data_1,10,FALSE)</f>
        <v>Team Liquid</v>
      </c>
      <c r="M28" s="123"/>
    </row>
    <row r="29" spans="1:13">
      <c r="A29" s="21"/>
      <c r="C29" s="122" t="str">
        <f>VLOOKUP(Data!$D$80,Last_games!Team_last_game_data_1,5,FALSE)</f>
        <v>Lourlo,Contractz,Mickey,Deftly,Matt</v>
      </c>
      <c r="D29" s="122"/>
      <c r="E29" s="83" t="str">
        <f>VLOOKUP(Data!$D$80,Last_games!Team_last_game_data_1,6,FALSE)</f>
        <v>lose</v>
      </c>
      <c r="F29" s="123" t="str">
        <f>VLOOKUP(Data!$D$80,Last_games!Team_last_game_data_1,7,FALSE)</f>
        <v>Team SoloMid</v>
      </c>
      <c r="G29" s="123"/>
      <c r="I29" s="122" t="str">
        <f>VLOOKUP(Data!$D$81,Last_games!Team_last_game_data_1,5,FALSE)</f>
        <v>Flame,Santorin,Keane,WildTurtle,JayJ</v>
      </c>
      <c r="J29" s="122"/>
      <c r="K29" s="83" t="str">
        <f>VLOOKUP(Data!$D$81,Last_games!Team_last_game_data_1,6,FALSE)</f>
        <v>lose</v>
      </c>
      <c r="L29" s="123" t="str">
        <f>VLOOKUP(Data!$D$81,Last_games!Team_last_game_data_1,7,FALSE)</f>
        <v>Optic Gaming</v>
      </c>
      <c r="M29" s="123"/>
    </row>
    <row r="30" spans="1:13">
      <c r="A30" s="21"/>
      <c r="C30" s="122" t="str">
        <f>VLOOKUP(Data!$D$80,Last_games!Team_last_game_data_1,2,FALSE)</f>
        <v>Lourlo,Contractz,Mickey,Deftly,Matt</v>
      </c>
      <c r="D30" s="122"/>
      <c r="E30" s="83" t="str">
        <f>VLOOKUP(Data!$D$80,Last_games!Team_last_game_data_1,3,FALSE)</f>
        <v>lose</v>
      </c>
      <c r="F30" s="123" t="str">
        <f>VLOOKUP(Data!$D$80,Last_games!Team_last_game_data_1,4,FALSE)</f>
        <v>Optic Gaming</v>
      </c>
      <c r="G30" s="123"/>
      <c r="I30" s="122" t="str">
        <f>VLOOKUP(Data!$D$81,Last_games!Team_last_game_data_1,2,FALSE)</f>
        <v>Flame,Santorin,Keane,WildTurtle,JayJ</v>
      </c>
      <c r="J30" s="122"/>
      <c r="K30" s="83" t="str">
        <f>VLOOKUP(Data!$D$81,Last_games!Team_last_game_data_1,3,FALSE)</f>
        <v>win</v>
      </c>
      <c r="L30" s="123" t="str">
        <f>VLOOKUP(Data!$D$81,Last_games!Team_last_game_data_1,4,FALSE)</f>
        <v>Team SoloMid</v>
      </c>
      <c r="M30" s="123"/>
    </row>
    <row r="31" spans="1:13">
      <c r="A31" s="21"/>
      <c r="B31" s="21"/>
      <c r="C31" s="21"/>
      <c r="D31" s="21"/>
      <c r="E31" s="21"/>
      <c r="F31" s="60"/>
      <c r="G31" s="21"/>
      <c r="K31" s="62"/>
      <c r="L31" s="21"/>
    </row>
    <row r="32" spans="1:13">
      <c r="A32" s="21"/>
      <c r="B32" s="21"/>
      <c r="C32" s="21"/>
      <c r="D32" s="21"/>
      <c r="E32" s="21"/>
      <c r="F32" s="21"/>
      <c r="G32" s="21"/>
      <c r="J32" s="71"/>
      <c r="K32" s="62"/>
      <c r="L32" s="21"/>
    </row>
    <row r="33" spans="1:12">
      <c r="A33" s="21"/>
      <c r="B33" s="21"/>
      <c r="C33" s="21"/>
      <c r="D33" s="21"/>
      <c r="E33" s="21"/>
      <c r="F33" s="21"/>
      <c r="G33" s="40"/>
      <c r="H33" s="90"/>
      <c r="I33" s="104"/>
      <c r="J33" s="104"/>
      <c r="K33" s="62"/>
      <c r="L33" s="21"/>
    </row>
    <row r="34" spans="1:12">
      <c r="A34" s="21"/>
      <c r="B34" s="21"/>
      <c r="C34" s="21"/>
      <c r="D34" s="21"/>
      <c r="E34" s="21"/>
      <c r="F34" s="61"/>
      <c r="G34" s="40"/>
      <c r="H34" s="90"/>
      <c r="I34" s="104"/>
      <c r="J34" s="104"/>
      <c r="K34" s="62"/>
      <c r="L34" s="21"/>
    </row>
    <row r="35" spans="1:12">
      <c r="A35" s="21"/>
      <c r="B35" s="21"/>
      <c r="C35" s="21"/>
      <c r="D35" s="21"/>
      <c r="E35" s="21"/>
      <c r="F35" s="21"/>
      <c r="G35" s="40"/>
      <c r="H35" s="63"/>
      <c r="I35" s="104"/>
      <c r="J35" s="104"/>
      <c r="K35" s="62"/>
      <c r="L35" s="21"/>
    </row>
    <row r="36" spans="1:12">
      <c r="A36" s="21"/>
      <c r="B36" s="21"/>
      <c r="C36" s="21"/>
      <c r="D36" s="21"/>
      <c r="E36" s="21"/>
      <c r="F36" s="21"/>
      <c r="G36" s="40"/>
      <c r="H36" s="63"/>
      <c r="I36" s="104"/>
      <c r="J36" s="104"/>
      <c r="K36" s="62"/>
      <c r="L36" s="21"/>
    </row>
    <row r="37" spans="1:12">
      <c r="A37" s="21"/>
      <c r="B37" s="21"/>
      <c r="C37" s="21"/>
      <c r="D37" s="21"/>
      <c r="E37" s="21"/>
      <c r="F37" s="61"/>
      <c r="G37" s="40"/>
      <c r="H37" s="63"/>
      <c r="I37" s="104"/>
      <c r="J37" s="104"/>
      <c r="K37" s="62"/>
      <c r="L37" s="21"/>
    </row>
    <row r="38" spans="1:12">
      <c r="A38" s="21"/>
      <c r="B38" s="21"/>
      <c r="C38" s="61"/>
      <c r="D38" s="61"/>
      <c r="E38" s="61"/>
      <c r="F38" s="61"/>
      <c r="G38" s="90"/>
      <c r="H38" s="63"/>
      <c r="I38" s="63"/>
      <c r="J38" s="62"/>
      <c r="K38" s="62"/>
      <c r="L38" s="21"/>
    </row>
    <row r="39" spans="1:12">
      <c r="A39" s="21"/>
      <c r="B39" s="21"/>
      <c r="C39" s="61"/>
      <c r="D39" s="61"/>
      <c r="E39" s="61"/>
      <c r="F39" s="61"/>
      <c r="G39" s="90"/>
      <c r="H39" s="63"/>
      <c r="I39" s="63"/>
      <c r="J39" s="62"/>
      <c r="K39" s="62"/>
      <c r="L39" s="21"/>
    </row>
    <row r="40" spans="1:12">
      <c r="A40" s="21"/>
      <c r="B40" s="21"/>
      <c r="C40" s="21"/>
      <c r="D40" s="21"/>
      <c r="E40" s="21"/>
      <c r="F40" s="60"/>
      <c r="G40" s="40"/>
      <c r="H40" s="63"/>
      <c r="I40" s="63"/>
      <c r="J40" s="62"/>
      <c r="K40" s="62"/>
      <c r="L40" s="21"/>
    </row>
    <row r="41" spans="1:12">
      <c r="A41" s="21"/>
      <c r="B41" s="21"/>
      <c r="C41" s="64"/>
      <c r="D41" s="64"/>
      <c r="E41" s="64"/>
      <c r="F41" s="64"/>
      <c r="G41" s="64"/>
      <c r="H41" s="63"/>
      <c r="I41" s="63"/>
      <c r="J41" s="62"/>
      <c r="K41" s="62"/>
      <c r="L41" s="21"/>
    </row>
    <row r="42" spans="1:12">
      <c r="A42" s="21"/>
      <c r="B42" s="21"/>
      <c r="C42" s="64"/>
      <c r="D42" s="64"/>
      <c r="E42" s="64"/>
      <c r="F42" s="64"/>
      <c r="G42" s="64"/>
      <c r="H42" s="63"/>
      <c r="I42" s="63"/>
      <c r="J42" s="62"/>
      <c r="K42" s="62"/>
      <c r="L42" s="21"/>
    </row>
    <row r="43" spans="1:12">
      <c r="A43" s="21"/>
      <c r="B43" s="21"/>
      <c r="C43" s="64"/>
      <c r="D43" s="64"/>
      <c r="E43" s="64"/>
      <c r="F43" s="64"/>
      <c r="G43" s="64"/>
      <c r="H43" s="63"/>
      <c r="I43" s="63"/>
      <c r="J43" s="62"/>
      <c r="K43" s="62"/>
      <c r="L43" s="21"/>
    </row>
    <row r="44" spans="1:12">
      <c r="A44" s="21"/>
      <c r="B44" s="21"/>
      <c r="C44" s="64"/>
      <c r="D44" s="64"/>
      <c r="E44" s="64"/>
      <c r="F44" s="64"/>
      <c r="G44" s="64"/>
      <c r="H44" s="63"/>
      <c r="I44" s="63"/>
      <c r="J44" s="62"/>
      <c r="K44" s="62"/>
      <c r="L44" s="21"/>
    </row>
    <row r="45" spans="1:12">
      <c r="A45" s="21"/>
      <c r="B45" s="21"/>
      <c r="C45" s="64"/>
      <c r="D45" s="64"/>
      <c r="E45" s="64"/>
      <c r="F45" s="64"/>
      <c r="G45" s="64"/>
      <c r="H45" s="63"/>
      <c r="I45" s="63"/>
      <c r="J45" s="62"/>
      <c r="K45" s="62"/>
      <c r="L45" s="21"/>
    </row>
    <row r="46" spans="1:12">
      <c r="A46" s="21"/>
      <c r="B46" s="21"/>
      <c r="C46" s="21"/>
      <c r="D46" s="21"/>
      <c r="E46" s="21"/>
      <c r="F46" s="60"/>
      <c r="G46" s="61"/>
      <c r="H46" s="63"/>
      <c r="I46" s="63"/>
      <c r="J46" s="62"/>
      <c r="K46" s="62"/>
      <c r="L46" s="21"/>
    </row>
    <row r="47" spans="1:12">
      <c r="A47" s="21"/>
      <c r="B47" s="21"/>
      <c r="C47" s="21"/>
      <c r="D47" s="21"/>
      <c r="E47" s="21"/>
      <c r="F47" s="21"/>
      <c r="G47" s="61"/>
      <c r="H47" s="63"/>
      <c r="I47" s="63"/>
      <c r="J47" s="62"/>
      <c r="K47" s="62"/>
      <c r="L47" s="21"/>
    </row>
    <row r="48" spans="1:12">
      <c r="A48" s="21"/>
      <c r="B48" s="21"/>
      <c r="C48" s="21"/>
      <c r="D48" s="21"/>
      <c r="E48" s="21"/>
      <c r="F48" s="21"/>
      <c r="G48" s="61"/>
      <c r="H48" s="63"/>
      <c r="I48" s="63"/>
      <c r="J48" s="62"/>
      <c r="K48" s="62"/>
      <c r="L48" s="21"/>
    </row>
    <row r="49" spans="1:12">
      <c r="A49" s="21"/>
      <c r="B49" s="21"/>
      <c r="C49" s="21"/>
      <c r="D49" s="21"/>
      <c r="E49" s="21"/>
      <c r="F49" s="21"/>
      <c r="G49" s="21"/>
      <c r="H49" s="63"/>
      <c r="I49" s="63"/>
      <c r="J49" s="62"/>
      <c r="K49" s="62"/>
      <c r="L49" s="21"/>
    </row>
    <row r="50" spans="1:12">
      <c r="A50" s="21"/>
      <c r="B50" s="21"/>
      <c r="C50" s="21"/>
      <c r="D50" s="21"/>
      <c r="E50" s="21"/>
      <c r="F50" s="21"/>
      <c r="G50" s="21"/>
      <c r="H50" s="63"/>
      <c r="I50" s="63"/>
      <c r="J50" s="62"/>
      <c r="K50" s="62"/>
      <c r="L50" s="65"/>
    </row>
    <row r="51" spans="1:12">
      <c r="A51" s="21"/>
      <c r="B51" s="21"/>
      <c r="C51" s="21"/>
      <c r="D51" s="21"/>
      <c r="E51" s="21"/>
      <c r="F51" s="21"/>
      <c r="G51" s="21"/>
      <c r="H51" s="63"/>
      <c r="I51" s="63"/>
      <c r="J51" s="62"/>
      <c r="K51" s="62"/>
      <c r="L51" s="21"/>
    </row>
    <row r="52" spans="1:12">
      <c r="A52" s="21"/>
      <c r="B52" s="21"/>
      <c r="C52" s="21"/>
      <c r="D52" s="21"/>
      <c r="E52" s="21"/>
      <c r="F52" s="60"/>
      <c r="G52" s="21"/>
      <c r="H52" s="63"/>
      <c r="I52" s="63"/>
      <c r="J52" s="21"/>
      <c r="K52" s="21"/>
      <c r="L52" s="21"/>
    </row>
    <row r="53" spans="1:12">
      <c r="A53" s="21"/>
      <c r="B53" s="21"/>
      <c r="C53" s="64"/>
      <c r="D53" s="64"/>
      <c r="E53" s="64"/>
      <c r="F53" s="64"/>
      <c r="G53" s="64"/>
      <c r="H53" s="63"/>
      <c r="I53" s="63"/>
      <c r="J53" s="21"/>
      <c r="K53" s="21"/>
      <c r="L53" s="21"/>
    </row>
    <row r="54" spans="1:12">
      <c r="A54" s="21"/>
      <c r="B54" s="21"/>
      <c r="C54" s="21"/>
      <c r="D54" s="21"/>
      <c r="E54" s="21"/>
      <c r="F54" s="21"/>
      <c r="G54" s="21"/>
      <c r="H54" s="63"/>
      <c r="I54" s="63"/>
      <c r="J54" s="62"/>
      <c r="K54" s="62"/>
      <c r="L54" s="21"/>
    </row>
    <row r="55" spans="1:12">
      <c r="A55" s="21"/>
      <c r="B55" s="21"/>
      <c r="C55" s="21"/>
      <c r="D55" s="21"/>
      <c r="E55" s="21"/>
      <c r="F55" s="21"/>
      <c r="G55" s="21"/>
      <c r="H55" s="63"/>
      <c r="I55" s="63"/>
      <c r="J55" s="62"/>
      <c r="K55" s="62"/>
      <c r="L55" s="21"/>
    </row>
    <row r="56" spans="1:12">
      <c r="A56" s="21"/>
      <c r="B56" s="21"/>
      <c r="C56" s="21"/>
      <c r="D56" s="21"/>
      <c r="E56" s="21"/>
      <c r="F56" s="60"/>
      <c r="G56" s="21"/>
      <c r="H56" s="63"/>
      <c r="I56" s="63"/>
      <c r="J56" s="62"/>
      <c r="K56" s="62"/>
      <c r="L56" s="21"/>
    </row>
    <row r="57" spans="1:12">
      <c r="A57" s="21"/>
      <c r="B57" s="21"/>
      <c r="C57" s="64"/>
      <c r="D57" s="64"/>
      <c r="E57" s="64"/>
      <c r="F57" s="64"/>
      <c r="G57" s="64"/>
      <c r="H57" s="63"/>
      <c r="I57" s="63"/>
      <c r="J57" s="62"/>
      <c r="K57" s="62"/>
      <c r="L57" s="21"/>
    </row>
    <row r="58" spans="1:12">
      <c r="A58" s="21"/>
      <c r="B58" s="21"/>
      <c r="C58" s="64"/>
      <c r="D58" s="64"/>
      <c r="E58" s="64"/>
      <c r="F58" s="64"/>
      <c r="G58" s="64"/>
      <c r="H58" s="63"/>
      <c r="I58" s="63"/>
      <c r="J58" s="62"/>
      <c r="K58" s="62"/>
      <c r="L58" s="21"/>
    </row>
    <row r="59" spans="1:12">
      <c r="A59" s="21"/>
      <c r="B59" s="21"/>
      <c r="C59" s="21"/>
      <c r="D59" s="21"/>
      <c r="E59" s="21"/>
      <c r="F59" s="60"/>
      <c r="G59" s="21"/>
      <c r="H59" s="63"/>
      <c r="I59" s="63"/>
      <c r="J59" s="21"/>
      <c r="K59" s="21"/>
      <c r="L59" s="21"/>
    </row>
    <row r="60" spans="1:12">
      <c r="A60" s="21"/>
      <c r="B60" s="21"/>
      <c r="C60" s="64"/>
      <c r="D60" s="64"/>
      <c r="E60" s="64"/>
      <c r="F60" s="64"/>
      <c r="G60" s="64"/>
      <c r="H60" s="63"/>
      <c r="I60" s="63"/>
      <c r="J60" s="21"/>
      <c r="K60" s="21"/>
      <c r="L60" s="21"/>
    </row>
    <row r="61" spans="1:12">
      <c r="A61" s="21"/>
      <c r="B61" s="21"/>
      <c r="C61" s="64"/>
      <c r="D61" s="64"/>
      <c r="E61" s="64"/>
      <c r="F61" s="64"/>
      <c r="G61" s="64"/>
      <c r="H61" s="63"/>
      <c r="I61" s="63"/>
      <c r="J61" s="21"/>
      <c r="K61" s="21"/>
      <c r="L61" s="21"/>
    </row>
    <row r="62" spans="1:12">
      <c r="A62" s="21"/>
      <c r="B62" s="21"/>
      <c r="C62" s="64"/>
      <c r="D62" s="64"/>
      <c r="E62" s="64"/>
      <c r="F62" s="64"/>
      <c r="G62" s="64"/>
      <c r="H62" s="63"/>
      <c r="I62" s="63"/>
      <c r="J62" s="21"/>
      <c r="K62" s="21"/>
      <c r="L62" s="21"/>
    </row>
    <row r="63" spans="1:12">
      <c r="A63" s="21"/>
      <c r="B63" s="21"/>
      <c r="C63" s="64"/>
      <c r="D63" s="64"/>
      <c r="E63" s="64"/>
      <c r="F63" s="64"/>
      <c r="G63" s="64"/>
      <c r="H63" s="63"/>
      <c r="I63" s="63"/>
      <c r="J63" s="21"/>
      <c r="K63" s="21"/>
      <c r="L63" s="21"/>
    </row>
    <row r="64" spans="1:12">
      <c r="A64" s="21"/>
      <c r="B64" s="21"/>
      <c r="C64" s="64"/>
      <c r="D64" s="64"/>
      <c r="E64" s="64"/>
      <c r="F64" s="64"/>
      <c r="G64" s="64"/>
      <c r="H64" s="63"/>
      <c r="I64" s="63"/>
      <c r="J64" s="21"/>
      <c r="K64" s="21"/>
      <c r="L64" s="21"/>
    </row>
    <row r="65" spans="1:12">
      <c r="A65" s="21"/>
      <c r="B65" s="21"/>
      <c r="C65" s="64"/>
      <c r="D65" s="64"/>
      <c r="E65" s="64"/>
      <c r="F65" s="60"/>
      <c r="G65" s="64"/>
      <c r="H65" s="63"/>
      <c r="I65" s="63"/>
      <c r="J65" s="21"/>
      <c r="K65" s="21"/>
      <c r="L65" s="21"/>
    </row>
    <row r="66" spans="1:12">
      <c r="A66" s="21"/>
      <c r="B66" s="21"/>
      <c r="C66" s="64"/>
      <c r="D66" s="64"/>
      <c r="E66" s="64"/>
      <c r="F66" s="64"/>
      <c r="G66" s="64"/>
      <c r="H66" s="63"/>
      <c r="I66" s="63"/>
      <c r="J66" s="21"/>
      <c r="K66" s="21"/>
      <c r="L66" s="21"/>
    </row>
    <row r="67" spans="1:12">
      <c r="A67" s="21"/>
      <c r="B67" s="21"/>
      <c r="C67" s="21"/>
      <c r="D67" s="21"/>
      <c r="E67" s="21"/>
      <c r="F67" s="21"/>
      <c r="G67" s="21"/>
      <c r="H67" s="63"/>
      <c r="I67" s="63"/>
      <c r="J67" s="62"/>
      <c r="K67" s="62"/>
      <c r="L67" s="21"/>
    </row>
    <row r="68" spans="1:12">
      <c r="A68" s="21"/>
      <c r="B68" s="21"/>
      <c r="C68" s="64"/>
      <c r="D68" s="64"/>
      <c r="E68" s="64"/>
      <c r="F68" s="64"/>
      <c r="G68" s="64"/>
      <c r="H68" s="63"/>
      <c r="I68" s="63"/>
      <c r="J68" s="21"/>
      <c r="K68" s="21"/>
      <c r="L68" s="21"/>
    </row>
    <row r="69" spans="1:12">
      <c r="A69" s="21"/>
      <c r="B69" s="21"/>
      <c r="C69" s="21"/>
      <c r="D69" s="21"/>
      <c r="E69" s="21"/>
      <c r="F69" s="21"/>
      <c r="G69" s="21"/>
      <c r="H69" s="63"/>
      <c r="I69" s="63"/>
      <c r="J69" s="21"/>
      <c r="K69" s="21"/>
      <c r="L69" s="21"/>
    </row>
    <row r="70" spans="1:12">
      <c r="A70" s="21"/>
      <c r="B70" s="21"/>
      <c r="C70" s="21"/>
      <c r="D70" s="21"/>
      <c r="E70" s="21"/>
      <c r="F70" s="21"/>
      <c r="G70" s="21"/>
      <c r="H70" s="63"/>
      <c r="I70" s="63"/>
      <c r="J70" s="21"/>
      <c r="K70" s="21"/>
      <c r="L70" s="21"/>
    </row>
    <row r="71" spans="1:12">
      <c r="H71" s="58"/>
      <c r="I71" s="58"/>
    </row>
    <row r="72" spans="1:12">
      <c r="H72" s="58"/>
      <c r="I72" s="58"/>
    </row>
    <row r="73" spans="1:12">
      <c r="H73" s="58"/>
      <c r="I73" s="58"/>
    </row>
    <row r="74" spans="1:12">
      <c r="H74" s="58"/>
      <c r="I74" s="58"/>
    </row>
    <row r="75" spans="1:12">
      <c r="H75" s="58"/>
      <c r="I75" s="58"/>
    </row>
    <row r="76" spans="1:12">
      <c r="H76" s="58"/>
      <c r="I76" s="58"/>
    </row>
    <row r="77" spans="1:12">
      <c r="H77" s="59"/>
      <c r="I77" s="59"/>
    </row>
    <row r="78" spans="1:12">
      <c r="H78" s="59"/>
      <c r="I78" s="59"/>
    </row>
    <row r="79" spans="1:12">
      <c r="H79" s="59"/>
      <c r="I79" s="59"/>
    </row>
    <row r="80" spans="1:12">
      <c r="H80" s="59"/>
      <c r="I80" s="59"/>
    </row>
    <row r="81" spans="8:9">
      <c r="H81" s="59"/>
      <c r="I81" s="59"/>
    </row>
    <row r="82" spans="8:9">
      <c r="H82" s="59"/>
      <c r="I82" s="59"/>
    </row>
    <row r="83" spans="8:9">
      <c r="H83" s="59"/>
      <c r="I83" s="59"/>
    </row>
    <row r="84" spans="8:9">
      <c r="H84" s="59"/>
      <c r="I84" s="59"/>
    </row>
    <row r="85" spans="8:9">
      <c r="H85" s="59"/>
      <c r="I85" s="59"/>
    </row>
    <row r="86" spans="8:9">
      <c r="H86" s="59"/>
      <c r="I86" s="59"/>
    </row>
    <row r="87" spans="8:9">
      <c r="H87" s="59"/>
      <c r="I87" s="59"/>
    </row>
    <row r="88" spans="8:9">
      <c r="H88" s="59"/>
      <c r="I88" s="59"/>
    </row>
    <row r="89" spans="8:9">
      <c r="H89" s="59"/>
      <c r="I89" s="59"/>
    </row>
    <row r="90" spans="8:9">
      <c r="H90" s="59"/>
      <c r="I90" s="59"/>
    </row>
    <row r="91" spans="8:9">
      <c r="H91" s="59"/>
      <c r="I91" s="59"/>
    </row>
    <row r="92" spans="8:9">
      <c r="H92" s="59"/>
      <c r="I92" s="59"/>
    </row>
    <row r="93" spans="8:9">
      <c r="H93" s="59"/>
      <c r="I93" s="59"/>
    </row>
    <row r="94" spans="8:9">
      <c r="H94" s="59"/>
      <c r="I94" s="59"/>
    </row>
    <row r="95" spans="8:9">
      <c r="H95" s="59"/>
      <c r="I95" s="59"/>
    </row>
    <row r="96" spans="8:9">
      <c r="H96" s="59"/>
      <c r="I96" s="59"/>
    </row>
    <row r="97" spans="8:9">
      <c r="H97" s="59"/>
      <c r="I97" s="59"/>
    </row>
    <row r="98" spans="8:9">
      <c r="H98" s="59"/>
      <c r="I98" s="59"/>
    </row>
    <row r="99" spans="8:9">
      <c r="H99" s="59"/>
      <c r="I99" s="59"/>
    </row>
    <row r="100" spans="8:9">
      <c r="H100" s="59"/>
      <c r="I100" s="59"/>
    </row>
    <row r="101" spans="8:9">
      <c r="H101" s="59"/>
      <c r="I101" s="59"/>
    </row>
    <row r="102" spans="8:9">
      <c r="H102" s="59"/>
      <c r="I102" s="59"/>
    </row>
    <row r="103" spans="8:9">
      <c r="H103" s="59"/>
      <c r="I103" s="59"/>
    </row>
    <row r="104" spans="8:9">
      <c r="H104" s="59"/>
      <c r="I104" s="59"/>
    </row>
    <row r="105" spans="8:9">
      <c r="H105" s="59"/>
      <c r="I105" s="59"/>
    </row>
    <row r="106" spans="8:9">
      <c r="H106" s="59"/>
      <c r="I106" s="59"/>
    </row>
    <row r="107" spans="8:9">
      <c r="H107" s="59"/>
      <c r="I107" s="59"/>
    </row>
    <row r="108" spans="8:9">
      <c r="H108" s="59"/>
      <c r="I108" s="59"/>
    </row>
    <row r="109" spans="8:9">
      <c r="H109" s="59"/>
      <c r="I109" s="59"/>
    </row>
    <row r="110" spans="8:9">
      <c r="H110" s="59"/>
      <c r="I110" s="59"/>
    </row>
    <row r="111" spans="8:9">
      <c r="H111" s="59"/>
      <c r="I111" s="59"/>
    </row>
    <row r="112" spans="8:9">
      <c r="H112" s="59"/>
      <c r="I112" s="59"/>
    </row>
    <row r="113" spans="8:9">
      <c r="H113" s="59"/>
      <c r="I113" s="59"/>
    </row>
    <row r="114" spans="8:9">
      <c r="H114" s="59"/>
      <c r="I114" s="59"/>
    </row>
    <row r="115" spans="8:9">
      <c r="H115" s="59"/>
      <c r="I115" s="59"/>
    </row>
    <row r="116" spans="8:9">
      <c r="H116" s="59"/>
      <c r="I116" s="59"/>
    </row>
  </sheetData>
  <sheetProtection sheet="1" objects="1" scenarios="1" selectLockedCells="1" selectUnlockedCells="1"/>
  <mergeCells count="26">
    <mergeCell ref="C30:D30"/>
    <mergeCell ref="F30:G30"/>
    <mergeCell ref="I27:J27"/>
    <mergeCell ref="L27:M27"/>
    <mergeCell ref="I28:J28"/>
    <mergeCell ref="L28:M28"/>
    <mergeCell ref="I29:J29"/>
    <mergeCell ref="L29:M29"/>
    <mergeCell ref="I30:J30"/>
    <mergeCell ref="L30:M30"/>
    <mergeCell ref="C27:D27"/>
    <mergeCell ref="F27:G27"/>
    <mergeCell ref="C28:D28"/>
    <mergeCell ref="F28:G28"/>
    <mergeCell ref="C29:D29"/>
    <mergeCell ref="F29:G29"/>
    <mergeCell ref="C26:D26"/>
    <mergeCell ref="C25:D25"/>
    <mergeCell ref="C24:G24"/>
    <mergeCell ref="F26:G26"/>
    <mergeCell ref="F25:G25"/>
    <mergeCell ref="I24:M24"/>
    <mergeCell ref="I25:J25"/>
    <mergeCell ref="L25:M25"/>
    <mergeCell ref="I26:J26"/>
    <mergeCell ref="L26:M26"/>
  </mergeCells>
  <conditionalFormatting sqref="E26:E30">
    <cfRule type="colorScale" priority="11">
      <colorScale>
        <cfvo type="formula" val="$E$26=&quot;win&quot;"/>
        <cfvo type="formula" val="$E$26=&quot;lose&quot;"/>
        <color rgb="FFFF7128"/>
        <color rgb="FFFFEF9C"/>
      </colorScale>
    </cfRule>
  </conditionalFormatting>
  <conditionalFormatting sqref="D6:D10 L6:L10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6:N10 F6:F1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6:G30">
    <cfRule type="expression" dxfId="3" priority="30">
      <formula>$E26="lose"</formula>
    </cfRule>
    <cfRule type="expression" dxfId="2" priority="31">
      <formula>$E26="win"</formula>
    </cfRule>
  </conditionalFormatting>
  <conditionalFormatting sqref="I26:M30">
    <cfRule type="expression" dxfId="1" priority="32">
      <formula>$K26="lose"</formula>
    </cfRule>
    <cfRule type="expression" dxfId="0" priority="33">
      <formula>$K26="win"</formula>
    </cfRule>
  </conditionalFormatting>
  <pageMargins left="0.7" right="0.7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Drop Down 2">
              <controlPr defaultSize="0" autoLine="0" autoPict="0">
                <anchor moveWithCells="1">
                  <from>
                    <xdr:col>2</xdr:col>
                    <xdr:colOff>466725</xdr:colOff>
                    <xdr:row>1</xdr:row>
                    <xdr:rowOff>47625</xdr:rowOff>
                  </from>
                  <to>
                    <xdr:col>4</xdr:col>
                    <xdr:colOff>457200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4" name="Drop Down 5">
              <controlPr defaultSize="0" autoLine="0" autoPict="0">
                <anchor moveWithCells="1">
                  <from>
                    <xdr:col>9</xdr:col>
                    <xdr:colOff>352425</xdr:colOff>
                    <xdr:row>1</xdr:row>
                    <xdr:rowOff>47625</xdr:rowOff>
                  </from>
                  <to>
                    <xdr:col>11</xdr:col>
                    <xdr:colOff>257175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Drop Down 7">
              <controlPr defaultSize="0" autoLine="0" autoPict="0">
                <anchor moveWithCells="1">
                  <from>
                    <xdr:col>6</xdr:col>
                    <xdr:colOff>276225</xdr:colOff>
                    <xdr:row>11</xdr:row>
                    <xdr:rowOff>104775</xdr:rowOff>
                  </from>
                  <to>
                    <xdr:col>7</xdr:col>
                    <xdr:colOff>685800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Scroll Bar 8">
              <controlPr defaultSize="0" autoPict="0">
                <anchor moveWithCells="1">
                  <from>
                    <xdr:col>5</xdr:col>
                    <xdr:colOff>657225</xdr:colOff>
                    <xdr:row>15</xdr:row>
                    <xdr:rowOff>47625</xdr:rowOff>
                  </from>
                  <to>
                    <xdr:col>8</xdr:col>
                    <xdr:colOff>238125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Drop Down 9">
              <controlPr defaultSize="0" autoLine="0" autoPict="0">
                <anchor moveWithCells="1">
                  <from>
                    <xdr:col>6</xdr:col>
                    <xdr:colOff>66675</xdr:colOff>
                    <xdr:row>0</xdr:row>
                    <xdr:rowOff>257175</xdr:rowOff>
                  </from>
                  <to>
                    <xdr:col>6</xdr:col>
                    <xdr:colOff>790575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Drop Down 10">
              <controlPr defaultSize="0" autoLine="0" autoPict="0">
                <anchor moveWithCells="1">
                  <from>
                    <xdr:col>7</xdr:col>
                    <xdr:colOff>66675</xdr:colOff>
                    <xdr:row>0</xdr:row>
                    <xdr:rowOff>266700</xdr:rowOff>
                  </from>
                  <to>
                    <xdr:col>7</xdr:col>
                    <xdr:colOff>790575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9" name="Drop Down 11">
              <controlPr defaultSize="0" autoLine="0" autoPict="0">
                <anchor moveWithCells="1">
                  <from>
                    <xdr:col>6</xdr:col>
                    <xdr:colOff>66675</xdr:colOff>
                    <xdr:row>3</xdr:row>
                    <xdr:rowOff>104775</xdr:rowOff>
                  </from>
                  <to>
                    <xdr:col>8</xdr:col>
                    <xdr:colOff>0</xdr:colOff>
                    <xdr:row>5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2:AH19"/>
  <sheetViews>
    <sheetView zoomScale="80" zoomScaleNormal="80" workbookViewId="0">
      <selection activeCell="I30" sqref="I30"/>
    </sheetView>
  </sheetViews>
  <sheetFormatPr defaultColWidth="10.875" defaultRowHeight="15.75"/>
  <cols>
    <col min="1" max="1" width="16" style="91" bestFit="1" customWidth="1"/>
    <col min="2" max="2" width="6.5" style="91" bestFit="1" customWidth="1"/>
    <col min="3" max="3" width="9" style="91" bestFit="1" customWidth="1"/>
    <col min="4" max="5" width="5.625" style="91" bestFit="1" customWidth="1"/>
    <col min="6" max="7" width="4.5" style="91" bestFit="1" customWidth="1"/>
    <col min="8" max="8" width="11.5" style="91" bestFit="1" customWidth="1"/>
    <col min="9" max="10" width="5.625" style="91" bestFit="1" customWidth="1"/>
    <col min="11" max="12" width="4.5" style="91" bestFit="1" customWidth="1"/>
    <col min="13" max="13" width="11.625" style="91" bestFit="1" customWidth="1"/>
    <col min="14" max="15" width="5.625" style="91" bestFit="1" customWidth="1"/>
    <col min="16" max="17" width="4.5" style="91" bestFit="1" customWidth="1"/>
    <col min="18" max="18" width="10" style="91" bestFit="1" customWidth="1"/>
    <col min="19" max="20" width="5.625" style="91" bestFit="1" customWidth="1"/>
    <col min="21" max="22" width="4.5" style="91" bestFit="1" customWidth="1"/>
    <col min="23" max="23" width="12.5" style="91" bestFit="1" customWidth="1"/>
    <col min="24" max="25" width="5.625" style="91" bestFit="1" customWidth="1"/>
    <col min="26" max="27" width="4.5" style="91" bestFit="1" customWidth="1"/>
    <col min="28" max="28" width="7.875" style="91" bestFit="1" customWidth="1"/>
    <col min="29" max="29" width="7.375" style="91" bestFit="1" customWidth="1"/>
    <col min="30" max="30" width="11.125" style="91" bestFit="1" customWidth="1"/>
    <col min="31" max="31" width="10.625" style="91" bestFit="1" customWidth="1"/>
    <col min="32" max="32" width="7.375" style="91" bestFit="1" customWidth="1"/>
    <col min="33" max="16384" width="10.875" style="91"/>
  </cols>
  <sheetData>
    <row r="2" spans="1:34">
      <c r="A2" s="92" t="s">
        <v>313</v>
      </c>
      <c r="B2" s="92" t="s">
        <v>314</v>
      </c>
      <c r="C2" s="92" t="s">
        <v>315</v>
      </c>
      <c r="D2" s="94" t="s">
        <v>380</v>
      </c>
      <c r="E2" s="94" t="s">
        <v>381</v>
      </c>
      <c r="F2" s="94" t="s">
        <v>382</v>
      </c>
      <c r="G2" s="94" t="s">
        <v>369</v>
      </c>
      <c r="H2" s="95" t="s">
        <v>383</v>
      </c>
      <c r="I2" s="92" t="s">
        <v>291</v>
      </c>
      <c r="J2" s="94" t="s">
        <v>380</v>
      </c>
      <c r="K2" s="94" t="s">
        <v>381</v>
      </c>
      <c r="L2" s="94" t="s">
        <v>382</v>
      </c>
      <c r="M2" s="94" t="s">
        <v>369</v>
      </c>
      <c r="N2" s="95" t="s">
        <v>383</v>
      </c>
      <c r="O2" s="92" t="s">
        <v>316</v>
      </c>
      <c r="P2" s="94" t="s">
        <v>380</v>
      </c>
      <c r="Q2" s="94" t="s">
        <v>381</v>
      </c>
      <c r="R2" s="94" t="s">
        <v>382</v>
      </c>
      <c r="S2" s="94" t="s">
        <v>369</v>
      </c>
      <c r="T2" s="95" t="s">
        <v>383</v>
      </c>
      <c r="U2" s="92" t="s">
        <v>317</v>
      </c>
      <c r="V2" s="94" t="s">
        <v>380</v>
      </c>
      <c r="W2" s="94" t="s">
        <v>381</v>
      </c>
      <c r="X2" s="94" t="s">
        <v>382</v>
      </c>
      <c r="Y2" s="94" t="s">
        <v>369</v>
      </c>
      <c r="Z2" s="95" t="s">
        <v>383</v>
      </c>
      <c r="AA2" s="92" t="s">
        <v>295</v>
      </c>
      <c r="AB2" s="94" t="s">
        <v>380</v>
      </c>
      <c r="AC2" s="94" t="s">
        <v>381</v>
      </c>
      <c r="AD2" s="94" t="s">
        <v>382</v>
      </c>
      <c r="AE2" s="94" t="s">
        <v>369</v>
      </c>
      <c r="AF2" s="95" t="s">
        <v>383</v>
      </c>
      <c r="AG2" s="95"/>
      <c r="AH2" s="89" t="s">
        <v>297</v>
      </c>
    </row>
    <row r="3" spans="1:34">
      <c r="A3" s="93" t="s">
        <v>299</v>
      </c>
      <c r="B3" s="93" t="s">
        <v>300</v>
      </c>
      <c r="C3" s="93" t="s">
        <v>207</v>
      </c>
      <c r="D3" s="93">
        <v>1634</v>
      </c>
      <c r="E3" s="93">
        <v>1566</v>
      </c>
      <c r="F3" s="93">
        <v>76</v>
      </c>
      <c r="G3" s="93">
        <v>94</v>
      </c>
      <c r="H3" s="97" t="s">
        <v>208</v>
      </c>
      <c r="I3" s="93">
        <v>1477</v>
      </c>
      <c r="J3" s="93">
        <v>1458</v>
      </c>
      <c r="K3" s="93">
        <v>1</v>
      </c>
      <c r="L3" s="93">
        <v>4</v>
      </c>
      <c r="M3" s="93" t="s">
        <v>336</v>
      </c>
      <c r="N3" s="97">
        <v>1568</v>
      </c>
      <c r="O3" s="93">
        <v>1492</v>
      </c>
      <c r="P3" s="93">
        <v>99</v>
      </c>
      <c r="Q3" s="93">
        <v>95</v>
      </c>
      <c r="R3" s="93" t="s">
        <v>209</v>
      </c>
      <c r="S3" s="93">
        <v>1576</v>
      </c>
      <c r="T3" s="97">
        <v>1547</v>
      </c>
      <c r="U3" s="93">
        <v>182</v>
      </c>
      <c r="V3" s="93">
        <v>193</v>
      </c>
      <c r="W3" s="93" t="s">
        <v>210</v>
      </c>
      <c r="X3" s="93">
        <v>1548</v>
      </c>
      <c r="Y3" s="93">
        <v>1514</v>
      </c>
      <c r="Z3" s="97">
        <v>9</v>
      </c>
      <c r="AA3" s="93">
        <v>17</v>
      </c>
      <c r="AB3"/>
      <c r="AC3"/>
      <c r="AD3"/>
      <c r="AE3"/>
      <c r="AF3" s="97" t="e">
        <f t="shared" ref="AF3:AF12" si="0">ROUND(AB3*(AD3/(AD3+AE3))+AC3*(AE3/(AD3+AE3)),0)</f>
        <v>#DIV/0!</v>
      </c>
      <c r="AG3" s="97"/>
      <c r="AH3" s="97" t="e">
        <f t="shared" ref="AH3:AH12" si="1">ROUND(AVERAGE(H3,N3,T3,Z3,AF3),0)</f>
        <v>#DIV/0!</v>
      </c>
    </row>
    <row r="4" spans="1:34">
      <c r="A4" s="93" t="s">
        <v>66</v>
      </c>
      <c r="B4" s="93">
        <v>100</v>
      </c>
      <c r="C4" s="93" t="s">
        <v>67</v>
      </c>
      <c r="D4" s="93">
        <v>1565</v>
      </c>
      <c r="E4" s="93">
        <v>1559</v>
      </c>
      <c r="F4" s="93">
        <v>170</v>
      </c>
      <c r="G4" s="93">
        <v>154</v>
      </c>
      <c r="H4" s="97" t="s">
        <v>68</v>
      </c>
      <c r="I4" s="93">
        <v>1591</v>
      </c>
      <c r="J4" s="93">
        <v>1599</v>
      </c>
      <c r="K4" s="93">
        <v>127</v>
      </c>
      <c r="L4" s="93">
        <v>115</v>
      </c>
      <c r="M4" s="93" t="s">
        <v>69</v>
      </c>
      <c r="N4" s="97">
        <v>1594</v>
      </c>
      <c r="O4" s="93">
        <v>1494</v>
      </c>
      <c r="P4" s="93">
        <v>143</v>
      </c>
      <c r="Q4" s="93">
        <v>125</v>
      </c>
      <c r="R4" s="93" t="s">
        <v>70</v>
      </c>
      <c r="S4" s="93">
        <v>1661</v>
      </c>
      <c r="T4" s="97">
        <v>1536</v>
      </c>
      <c r="U4" s="93">
        <v>58</v>
      </c>
      <c r="V4" s="93">
        <v>58</v>
      </c>
      <c r="W4" s="93" t="s">
        <v>71</v>
      </c>
      <c r="X4" s="93">
        <v>1581</v>
      </c>
      <c r="Y4" s="93">
        <v>1574</v>
      </c>
      <c r="Z4" s="97">
        <v>186</v>
      </c>
      <c r="AA4" s="93">
        <v>176</v>
      </c>
      <c r="AB4"/>
      <c r="AC4"/>
      <c r="AD4"/>
      <c r="AE4"/>
      <c r="AF4" s="97" t="e">
        <f t="shared" si="0"/>
        <v>#DIV/0!</v>
      </c>
      <c r="AG4" s="97"/>
      <c r="AH4" s="97" t="e">
        <f t="shared" si="1"/>
        <v>#DIV/0!</v>
      </c>
    </row>
    <row r="5" spans="1:34">
      <c r="A5" s="93" t="s">
        <v>21</v>
      </c>
      <c r="B5" s="93" t="s">
        <v>21</v>
      </c>
      <c r="C5" s="93" t="s">
        <v>22</v>
      </c>
      <c r="D5" s="93">
        <v>1540</v>
      </c>
      <c r="E5" s="93">
        <v>1570</v>
      </c>
      <c r="F5" s="93">
        <v>185</v>
      </c>
      <c r="G5" s="93">
        <v>175</v>
      </c>
      <c r="H5" s="97" t="s">
        <v>23</v>
      </c>
      <c r="I5" s="93">
        <v>1575</v>
      </c>
      <c r="J5" s="93">
        <v>1346</v>
      </c>
      <c r="K5" s="93">
        <v>132</v>
      </c>
      <c r="L5" s="93">
        <v>118</v>
      </c>
      <c r="M5" s="93" t="s">
        <v>24</v>
      </c>
      <c r="N5" s="97">
        <v>1552</v>
      </c>
      <c r="O5" s="93">
        <v>1585</v>
      </c>
      <c r="P5" s="93">
        <v>125</v>
      </c>
      <c r="Q5" s="93">
        <v>113</v>
      </c>
      <c r="R5" s="93" t="s">
        <v>25</v>
      </c>
      <c r="S5" s="93">
        <v>1558</v>
      </c>
      <c r="T5" s="97">
        <v>1585</v>
      </c>
      <c r="U5" s="93">
        <v>124</v>
      </c>
      <c r="V5" s="93">
        <v>112</v>
      </c>
      <c r="W5" s="93" t="s">
        <v>26</v>
      </c>
      <c r="X5" s="93">
        <v>1721</v>
      </c>
      <c r="Y5" s="93">
        <v>1666</v>
      </c>
      <c r="Z5" s="97">
        <v>93</v>
      </c>
      <c r="AA5" s="93">
        <v>104</v>
      </c>
      <c r="AB5"/>
      <c r="AC5"/>
      <c r="AD5"/>
      <c r="AE5"/>
      <c r="AF5" s="97" t="e">
        <f t="shared" si="0"/>
        <v>#DIV/0!</v>
      </c>
      <c r="AG5" s="97"/>
      <c r="AH5" s="97" t="e">
        <f t="shared" si="1"/>
        <v>#DIV/0!</v>
      </c>
    </row>
    <row r="6" spans="1:34">
      <c r="A6" s="93" t="s">
        <v>113</v>
      </c>
      <c r="B6" s="93" t="s">
        <v>114</v>
      </c>
      <c r="C6" s="93" t="s">
        <v>115</v>
      </c>
      <c r="D6" s="93">
        <v>1715</v>
      </c>
      <c r="E6" s="93">
        <v>1617</v>
      </c>
      <c r="F6" s="93">
        <v>133</v>
      </c>
      <c r="G6" s="93">
        <v>151</v>
      </c>
      <c r="H6" s="97" t="s">
        <v>116</v>
      </c>
      <c r="I6" s="93">
        <v>1540</v>
      </c>
      <c r="J6" s="93">
        <v>1408</v>
      </c>
      <c r="K6" s="93">
        <v>29</v>
      </c>
      <c r="L6" s="93">
        <v>30</v>
      </c>
      <c r="M6" s="93" t="s">
        <v>117</v>
      </c>
      <c r="N6" s="97">
        <v>1703</v>
      </c>
      <c r="O6" s="93">
        <v>1614</v>
      </c>
      <c r="P6" s="93">
        <v>188</v>
      </c>
      <c r="Q6" s="93">
        <v>207</v>
      </c>
      <c r="R6" s="93" t="s">
        <v>118</v>
      </c>
      <c r="S6" s="93">
        <v>1629</v>
      </c>
      <c r="T6" s="97">
        <v>1579</v>
      </c>
      <c r="U6" s="93">
        <v>137</v>
      </c>
      <c r="V6" s="93">
        <v>126</v>
      </c>
      <c r="W6" s="93" t="s">
        <v>119</v>
      </c>
      <c r="X6" s="93">
        <v>1637</v>
      </c>
      <c r="Y6" s="93">
        <v>1587</v>
      </c>
      <c r="Z6" s="97">
        <v>141</v>
      </c>
      <c r="AA6" s="93">
        <v>129</v>
      </c>
      <c r="AB6"/>
      <c r="AC6"/>
      <c r="AD6"/>
      <c r="AE6"/>
      <c r="AF6" s="97" t="e">
        <f t="shared" si="0"/>
        <v>#DIV/0!</v>
      </c>
      <c r="AG6" s="97"/>
      <c r="AH6" s="97" t="e">
        <f t="shared" si="1"/>
        <v>#DIV/0!</v>
      </c>
    </row>
    <row r="7" spans="1:34">
      <c r="A7" s="93" t="s">
        <v>133</v>
      </c>
      <c r="B7" s="93" t="s">
        <v>134</v>
      </c>
      <c r="C7" s="93" t="s">
        <v>135</v>
      </c>
      <c r="D7" s="93">
        <v>1533</v>
      </c>
      <c r="E7" s="93">
        <v>1516</v>
      </c>
      <c r="F7" s="93">
        <v>33</v>
      </c>
      <c r="G7" s="93">
        <v>36</v>
      </c>
      <c r="H7" s="97" t="s">
        <v>136</v>
      </c>
      <c r="I7" s="93">
        <v>1695</v>
      </c>
      <c r="J7" s="93">
        <v>1653</v>
      </c>
      <c r="K7" s="93">
        <v>182</v>
      </c>
      <c r="L7" s="93">
        <v>183</v>
      </c>
      <c r="M7" s="93" t="s">
        <v>137</v>
      </c>
      <c r="N7" s="97">
        <v>1612</v>
      </c>
      <c r="O7" s="93">
        <v>1664</v>
      </c>
      <c r="P7" s="93">
        <v>132</v>
      </c>
      <c r="Q7" s="93">
        <v>134</v>
      </c>
      <c r="R7" s="93" t="s">
        <v>138</v>
      </c>
      <c r="S7" s="93">
        <v>1616</v>
      </c>
      <c r="T7" s="97">
        <v>1653</v>
      </c>
      <c r="U7" s="93">
        <v>199</v>
      </c>
      <c r="V7" s="93">
        <v>196</v>
      </c>
      <c r="W7" s="93" t="s">
        <v>139</v>
      </c>
      <c r="X7" s="93">
        <v>1629</v>
      </c>
      <c r="Y7" s="93">
        <v>1623</v>
      </c>
      <c r="Z7" s="97">
        <v>97</v>
      </c>
      <c r="AA7" s="93">
        <v>105</v>
      </c>
      <c r="AB7"/>
      <c r="AC7"/>
      <c r="AD7"/>
      <c r="AE7"/>
      <c r="AF7" s="97" t="e">
        <f t="shared" si="0"/>
        <v>#DIV/0!</v>
      </c>
      <c r="AG7" s="97"/>
      <c r="AH7" s="97" t="e">
        <f t="shared" si="1"/>
        <v>#DIV/0!</v>
      </c>
    </row>
    <row r="8" spans="1:34">
      <c r="A8" s="93" t="s">
        <v>147</v>
      </c>
      <c r="B8" s="93" t="s">
        <v>301</v>
      </c>
      <c r="C8" s="93" t="s">
        <v>329</v>
      </c>
      <c r="D8" s="93">
        <v>1543</v>
      </c>
      <c r="E8" s="93">
        <v>1427</v>
      </c>
      <c r="F8" s="93">
        <v>78</v>
      </c>
      <c r="G8" s="93">
        <v>84</v>
      </c>
      <c r="H8" s="97" t="s">
        <v>148</v>
      </c>
      <c r="I8" s="93">
        <v>1417</v>
      </c>
      <c r="J8" s="93">
        <v>1424</v>
      </c>
      <c r="K8" s="93">
        <v>43</v>
      </c>
      <c r="L8" s="93">
        <v>40</v>
      </c>
      <c r="M8" s="93" t="s">
        <v>149</v>
      </c>
      <c r="N8" s="97">
        <v>1585</v>
      </c>
      <c r="O8" s="93">
        <v>1463</v>
      </c>
      <c r="P8" s="93">
        <v>124</v>
      </c>
      <c r="Q8" s="93">
        <v>118</v>
      </c>
      <c r="R8" s="93" t="s">
        <v>150</v>
      </c>
      <c r="S8" s="93">
        <v>1570</v>
      </c>
      <c r="T8" s="97">
        <v>1472</v>
      </c>
      <c r="U8" s="93">
        <v>169</v>
      </c>
      <c r="V8" s="93">
        <v>162</v>
      </c>
      <c r="W8" s="93" t="s">
        <v>151</v>
      </c>
      <c r="X8" s="93">
        <v>1485</v>
      </c>
      <c r="Y8" s="93">
        <v>1504</v>
      </c>
      <c r="Z8" s="97">
        <v>150</v>
      </c>
      <c r="AA8" s="93">
        <v>131</v>
      </c>
      <c r="AB8"/>
      <c r="AC8"/>
      <c r="AD8"/>
      <c r="AE8"/>
      <c r="AF8" s="97" t="e">
        <f t="shared" si="0"/>
        <v>#DIV/0!</v>
      </c>
      <c r="AG8" s="97"/>
      <c r="AH8" s="97" t="e">
        <f t="shared" si="1"/>
        <v>#DIV/0!</v>
      </c>
    </row>
    <row r="9" spans="1:34">
      <c r="A9" s="93" t="s">
        <v>205</v>
      </c>
      <c r="B9" s="93" t="s">
        <v>206</v>
      </c>
      <c r="C9" s="93" t="s">
        <v>302</v>
      </c>
      <c r="D9" s="93">
        <v>1717</v>
      </c>
      <c r="E9" s="93">
        <v>1671</v>
      </c>
      <c r="F9" s="93">
        <v>127</v>
      </c>
      <c r="G9" s="93">
        <v>127</v>
      </c>
      <c r="H9" s="97" t="s">
        <v>303</v>
      </c>
      <c r="I9" s="93">
        <v>1573</v>
      </c>
      <c r="J9" s="93">
        <v>1555</v>
      </c>
      <c r="K9" s="93">
        <v>89</v>
      </c>
      <c r="L9" s="93">
        <v>89</v>
      </c>
      <c r="M9" s="93" t="s">
        <v>309</v>
      </c>
      <c r="N9" s="97">
        <v>1588</v>
      </c>
      <c r="O9" s="93">
        <v>1513</v>
      </c>
      <c r="P9" s="93">
        <v>85</v>
      </c>
      <c r="Q9" s="93">
        <v>88</v>
      </c>
      <c r="R9" s="93" t="s">
        <v>304</v>
      </c>
      <c r="S9" s="93">
        <v>1512</v>
      </c>
      <c r="T9" s="97">
        <v>1593</v>
      </c>
      <c r="U9" s="93">
        <v>98</v>
      </c>
      <c r="V9" s="93">
        <v>93</v>
      </c>
      <c r="W9" s="93" t="s">
        <v>305</v>
      </c>
      <c r="X9" s="93">
        <v>1600</v>
      </c>
      <c r="Y9" s="93">
        <v>1560</v>
      </c>
      <c r="Z9" s="97">
        <v>108</v>
      </c>
      <c r="AA9" s="93">
        <v>104</v>
      </c>
      <c r="AB9"/>
      <c r="AC9"/>
      <c r="AD9"/>
      <c r="AE9"/>
      <c r="AF9" s="97" t="e">
        <f t="shared" si="0"/>
        <v>#DIV/0!</v>
      </c>
      <c r="AG9" s="97"/>
      <c r="AH9" s="97" t="e">
        <f t="shared" si="1"/>
        <v>#DIV/0!</v>
      </c>
    </row>
    <row r="10" spans="1:34">
      <c r="A10" s="93" t="s">
        <v>185</v>
      </c>
      <c r="B10" s="93" t="s">
        <v>186</v>
      </c>
      <c r="C10" s="93" t="s">
        <v>187</v>
      </c>
      <c r="D10" s="93">
        <v>1623</v>
      </c>
      <c r="E10" s="93">
        <v>1660</v>
      </c>
      <c r="F10" s="93">
        <v>135</v>
      </c>
      <c r="G10" s="93">
        <v>143</v>
      </c>
      <c r="H10" s="97" t="s">
        <v>188</v>
      </c>
      <c r="I10" s="93">
        <v>1625</v>
      </c>
      <c r="J10" s="93">
        <v>1553</v>
      </c>
      <c r="K10" s="93">
        <v>161</v>
      </c>
      <c r="L10" s="93">
        <v>143</v>
      </c>
      <c r="M10" s="93" t="s">
        <v>189</v>
      </c>
      <c r="N10" s="97">
        <v>1623</v>
      </c>
      <c r="O10" s="93">
        <v>1577</v>
      </c>
      <c r="P10" s="93">
        <v>147</v>
      </c>
      <c r="Q10" s="93">
        <v>150</v>
      </c>
      <c r="R10" s="93" t="s">
        <v>190</v>
      </c>
      <c r="S10" s="93">
        <v>1703</v>
      </c>
      <c r="T10" s="97">
        <v>1622</v>
      </c>
      <c r="U10" s="93">
        <v>155</v>
      </c>
      <c r="V10" s="93">
        <v>160</v>
      </c>
      <c r="W10" s="93" t="s">
        <v>191</v>
      </c>
      <c r="X10" s="93">
        <v>1640</v>
      </c>
      <c r="Y10" s="93">
        <v>1547</v>
      </c>
      <c r="Z10" s="97">
        <v>72</v>
      </c>
      <c r="AA10" s="93">
        <v>75</v>
      </c>
      <c r="AB10"/>
      <c r="AC10"/>
      <c r="AD10"/>
      <c r="AE10"/>
      <c r="AF10" s="97" t="e">
        <f t="shared" si="0"/>
        <v>#DIV/0!</v>
      </c>
      <c r="AG10" s="97"/>
      <c r="AH10" s="97" t="e">
        <f t="shared" si="1"/>
        <v>#DIV/0!</v>
      </c>
    </row>
    <row r="11" spans="1:34">
      <c r="A11" s="93" t="s">
        <v>234</v>
      </c>
      <c r="B11" s="93" t="s">
        <v>306</v>
      </c>
      <c r="C11" s="93" t="s">
        <v>323</v>
      </c>
      <c r="D11" s="93">
        <v>1622</v>
      </c>
      <c r="E11" s="93">
        <v>1421</v>
      </c>
      <c r="F11" s="93">
        <v>37</v>
      </c>
      <c r="G11" s="93">
        <v>51</v>
      </c>
      <c r="H11" s="97" t="s">
        <v>235</v>
      </c>
      <c r="I11" s="93">
        <v>1583</v>
      </c>
      <c r="J11" s="93">
        <v>1362</v>
      </c>
      <c r="K11" s="93">
        <v>115</v>
      </c>
      <c r="L11" s="93">
        <v>125</v>
      </c>
      <c r="M11" s="93" t="s">
        <v>236</v>
      </c>
      <c r="N11" s="97">
        <v>1608</v>
      </c>
      <c r="O11" s="93">
        <v>1489</v>
      </c>
      <c r="P11" s="93">
        <v>138</v>
      </c>
      <c r="Q11" s="93">
        <v>118</v>
      </c>
      <c r="R11" s="93" t="s">
        <v>237</v>
      </c>
      <c r="S11" s="93">
        <v>1568</v>
      </c>
      <c r="T11" s="97">
        <v>1359</v>
      </c>
      <c r="U11" s="93">
        <v>135</v>
      </c>
      <c r="V11" s="93">
        <v>141</v>
      </c>
      <c r="W11" s="93" t="s">
        <v>238</v>
      </c>
      <c r="X11" s="93">
        <v>1596</v>
      </c>
      <c r="Y11" s="93">
        <v>1361</v>
      </c>
      <c r="Z11" s="97">
        <v>86</v>
      </c>
      <c r="AA11" s="93">
        <v>96</v>
      </c>
      <c r="AB11"/>
      <c r="AC11"/>
      <c r="AD11"/>
      <c r="AE11"/>
      <c r="AF11" s="97" t="e">
        <f t="shared" si="0"/>
        <v>#DIV/0!</v>
      </c>
      <c r="AG11" s="97"/>
      <c r="AH11" s="97" t="e">
        <f t="shared" si="1"/>
        <v>#DIV/0!</v>
      </c>
    </row>
    <row r="12" spans="1:34">
      <c r="A12" s="93" t="s">
        <v>244</v>
      </c>
      <c r="B12" s="93" t="s">
        <v>307</v>
      </c>
      <c r="C12" s="93" t="s">
        <v>245</v>
      </c>
      <c r="D12" s="93">
        <v>1493</v>
      </c>
      <c r="E12" s="93">
        <v>1336</v>
      </c>
      <c r="F12" s="93">
        <v>103</v>
      </c>
      <c r="G12" s="93">
        <v>95</v>
      </c>
      <c r="H12" s="97" t="s">
        <v>246</v>
      </c>
      <c r="I12" s="93">
        <v>1579</v>
      </c>
      <c r="J12" s="93">
        <v>1612</v>
      </c>
      <c r="K12" s="93">
        <v>66</v>
      </c>
      <c r="L12" s="93">
        <v>70</v>
      </c>
      <c r="M12" s="93" t="s">
        <v>247</v>
      </c>
      <c r="N12" s="97">
        <v>1455</v>
      </c>
      <c r="O12" s="93">
        <v>1491</v>
      </c>
      <c r="P12" s="93">
        <v>128</v>
      </c>
      <c r="Q12" s="93">
        <v>109</v>
      </c>
      <c r="R12" s="93" t="s">
        <v>248</v>
      </c>
      <c r="S12" s="93">
        <v>1475</v>
      </c>
      <c r="T12" s="97">
        <v>1452</v>
      </c>
      <c r="U12" s="93">
        <v>34</v>
      </c>
      <c r="V12" s="93">
        <v>35</v>
      </c>
      <c r="W12" s="93" t="s">
        <v>249</v>
      </c>
      <c r="X12" s="93">
        <v>1498</v>
      </c>
      <c r="Y12" s="93">
        <v>1370</v>
      </c>
      <c r="Z12" s="97">
        <v>98</v>
      </c>
      <c r="AA12" s="93">
        <v>90</v>
      </c>
      <c r="AB12"/>
      <c r="AC12"/>
      <c r="AD12"/>
      <c r="AE12"/>
      <c r="AF12" s="97" t="e">
        <f t="shared" si="0"/>
        <v>#DIV/0!</v>
      </c>
      <c r="AG12" s="97"/>
      <c r="AH12" s="97" t="e">
        <f t="shared" si="1"/>
        <v>#DIV/0!</v>
      </c>
    </row>
    <row r="15" spans="1:34">
      <c r="AG15" s="100" t="s">
        <v>385</v>
      </c>
      <c r="AH15" s="100" t="e">
        <f>AVERAGE(AH3:AH12)</f>
        <v>#DIV/0!</v>
      </c>
    </row>
    <row r="16" spans="1:34">
      <c r="AG16" s="100" t="s">
        <v>384</v>
      </c>
      <c r="AH16" s="100" t="e">
        <f>SUM(AH3:AH12)</f>
        <v>#DIV/0!</v>
      </c>
    </row>
    <row r="19" spans="8:8">
      <c r="H19" s="71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2:AF16"/>
  <sheetViews>
    <sheetView workbookViewId="0">
      <selection activeCell="I19" sqref="I19"/>
    </sheetView>
  </sheetViews>
  <sheetFormatPr defaultColWidth="11" defaultRowHeight="15.75"/>
  <cols>
    <col min="1" max="1" width="18.125" bestFit="1" customWidth="1"/>
    <col min="2" max="2" width="5.5" bestFit="1" customWidth="1"/>
    <col min="3" max="3" width="9" bestFit="1" customWidth="1"/>
    <col min="4" max="5" width="5.125" bestFit="1" customWidth="1"/>
    <col min="6" max="7" width="4.125" bestFit="1" customWidth="1"/>
    <col min="8" max="8" width="8.375" bestFit="1" customWidth="1"/>
    <col min="9" max="10" width="5.125" bestFit="1" customWidth="1"/>
    <col min="11" max="12" width="3.125" bestFit="1" customWidth="1"/>
    <col min="13" max="13" width="8.875" bestFit="1" customWidth="1"/>
    <col min="14" max="15" width="5.125" bestFit="1" customWidth="1"/>
    <col min="16" max="17" width="4.125" bestFit="1" customWidth="1"/>
    <col min="18" max="18" width="10" bestFit="1" customWidth="1"/>
    <col min="19" max="20" width="5.125" bestFit="1" customWidth="1"/>
    <col min="21" max="22" width="4.125" customWidth="1"/>
    <col min="23" max="23" width="8.625" bestFit="1" customWidth="1"/>
    <col min="24" max="25" width="5.125" bestFit="1" customWidth="1"/>
    <col min="26" max="27" width="4.125" customWidth="1"/>
  </cols>
  <sheetData>
    <row r="2" spans="1:32">
      <c r="A2" t="s">
        <v>313</v>
      </c>
      <c r="B2" t="s">
        <v>314</v>
      </c>
      <c r="C2" t="s">
        <v>315</v>
      </c>
      <c r="F2" t="s">
        <v>291</v>
      </c>
      <c r="I2" t="s">
        <v>316</v>
      </c>
      <c r="L2" t="s">
        <v>317</v>
      </c>
      <c r="O2" t="s">
        <v>295</v>
      </c>
    </row>
    <row r="3" spans="1:32">
      <c r="A3" t="s">
        <v>15</v>
      </c>
      <c r="B3" t="s">
        <v>312</v>
      </c>
      <c r="C3" t="s">
        <v>16</v>
      </c>
      <c r="D3">
        <v>1650</v>
      </c>
      <c r="E3">
        <v>1617</v>
      </c>
      <c r="F3">
        <v>94</v>
      </c>
      <c r="G3">
        <v>98</v>
      </c>
      <c r="H3" t="s">
        <v>17</v>
      </c>
      <c r="I3">
        <v>1651</v>
      </c>
      <c r="J3">
        <v>1601</v>
      </c>
      <c r="K3">
        <v>90</v>
      </c>
      <c r="L3">
        <v>90</v>
      </c>
      <c r="M3" t="s">
        <v>18</v>
      </c>
      <c r="N3">
        <v>1627</v>
      </c>
      <c r="O3">
        <v>1607</v>
      </c>
      <c r="P3">
        <v>159</v>
      </c>
      <c r="Q3">
        <v>165</v>
      </c>
      <c r="R3" t="s">
        <v>19</v>
      </c>
      <c r="S3">
        <v>1490</v>
      </c>
      <c r="T3">
        <v>1506</v>
      </c>
      <c r="U3">
        <v>11</v>
      </c>
      <c r="V3">
        <v>11</v>
      </c>
      <c r="W3" t="s">
        <v>20</v>
      </c>
      <c r="X3">
        <v>1607</v>
      </c>
      <c r="Y3">
        <v>1570</v>
      </c>
      <c r="Z3">
        <v>62</v>
      </c>
      <c r="AA3">
        <v>67</v>
      </c>
      <c r="AC3">
        <f t="shared" ref="AC3:AC16" si="0">AVERAGE(D3,G3,J3,M3,P3)</f>
        <v>877</v>
      </c>
      <c r="AD3">
        <f t="shared" ref="AD3:AD16" si="1">RANK(AC3,AC$3:AC$16)</f>
        <v>1</v>
      </c>
      <c r="AF3">
        <f>AVERAGE(AC3:AC16)</f>
        <v>790.51785714285711</v>
      </c>
    </row>
    <row r="4" spans="1:32">
      <c r="A4" t="s">
        <v>41</v>
      </c>
      <c r="B4" t="s">
        <v>42</v>
      </c>
      <c r="C4" t="s">
        <v>43</v>
      </c>
      <c r="D4">
        <v>1571</v>
      </c>
      <c r="E4">
        <v>1427</v>
      </c>
      <c r="F4">
        <v>116</v>
      </c>
      <c r="G4">
        <v>122</v>
      </c>
      <c r="H4" t="s">
        <v>44</v>
      </c>
      <c r="I4">
        <v>1507</v>
      </c>
      <c r="J4">
        <v>1437</v>
      </c>
      <c r="K4">
        <v>20</v>
      </c>
      <c r="L4">
        <v>21</v>
      </c>
      <c r="M4" t="s">
        <v>45</v>
      </c>
      <c r="N4">
        <v>1520</v>
      </c>
      <c r="O4">
        <v>1407</v>
      </c>
      <c r="P4">
        <v>81</v>
      </c>
      <c r="Q4">
        <v>82</v>
      </c>
      <c r="R4" t="s">
        <v>46</v>
      </c>
      <c r="S4">
        <v>1531</v>
      </c>
      <c r="T4">
        <v>1422</v>
      </c>
      <c r="U4">
        <v>84</v>
      </c>
      <c r="V4">
        <v>87</v>
      </c>
      <c r="W4" t="s">
        <v>322</v>
      </c>
      <c r="X4">
        <v>1554</v>
      </c>
      <c r="Y4">
        <v>1439</v>
      </c>
      <c r="Z4">
        <v>70</v>
      </c>
      <c r="AA4">
        <v>74</v>
      </c>
      <c r="AC4">
        <f t="shared" si="0"/>
        <v>802.75</v>
      </c>
      <c r="AD4">
        <f t="shared" si="1"/>
        <v>7</v>
      </c>
    </row>
    <row r="5" spans="1:32">
      <c r="A5" t="s">
        <v>54</v>
      </c>
      <c r="B5" t="s">
        <v>55</v>
      </c>
      <c r="C5" t="s">
        <v>56</v>
      </c>
      <c r="D5">
        <v>1515</v>
      </c>
      <c r="E5">
        <v>1400</v>
      </c>
      <c r="F5">
        <v>32</v>
      </c>
      <c r="G5">
        <v>35</v>
      </c>
      <c r="H5" t="s">
        <v>57</v>
      </c>
      <c r="I5">
        <v>1468</v>
      </c>
      <c r="J5">
        <v>1372</v>
      </c>
      <c r="K5">
        <v>90</v>
      </c>
      <c r="L5">
        <v>93</v>
      </c>
      <c r="M5" t="s">
        <v>320</v>
      </c>
      <c r="N5">
        <v>1454</v>
      </c>
      <c r="O5">
        <v>1442</v>
      </c>
      <c r="P5">
        <v>6</v>
      </c>
      <c r="Q5">
        <v>5</v>
      </c>
      <c r="R5" t="s">
        <v>58</v>
      </c>
      <c r="S5">
        <v>1499</v>
      </c>
      <c r="T5">
        <v>1404</v>
      </c>
      <c r="U5">
        <v>157</v>
      </c>
      <c r="V5">
        <v>160</v>
      </c>
      <c r="W5" t="s">
        <v>59</v>
      </c>
      <c r="X5">
        <v>1507</v>
      </c>
      <c r="Y5">
        <v>1387</v>
      </c>
      <c r="Z5">
        <v>142</v>
      </c>
      <c r="AA5">
        <v>145</v>
      </c>
      <c r="AC5">
        <f t="shared" si="0"/>
        <v>732</v>
      </c>
      <c r="AD5">
        <f t="shared" si="1"/>
        <v>11</v>
      </c>
    </row>
    <row r="6" spans="1:32">
      <c r="A6" t="s">
        <v>78</v>
      </c>
      <c r="B6" t="s">
        <v>79</v>
      </c>
      <c r="C6" t="s">
        <v>368</v>
      </c>
      <c r="D6">
        <v>1451</v>
      </c>
      <c r="E6">
        <v>1357</v>
      </c>
      <c r="F6">
        <v>4</v>
      </c>
      <c r="G6">
        <v>7</v>
      </c>
      <c r="H6" t="s">
        <v>80</v>
      </c>
      <c r="I6">
        <v>1442</v>
      </c>
      <c r="J6">
        <v>1374</v>
      </c>
      <c r="K6">
        <v>55</v>
      </c>
      <c r="L6">
        <v>49</v>
      </c>
      <c r="M6" t="s">
        <v>81</v>
      </c>
      <c r="N6">
        <v>1443</v>
      </c>
      <c r="O6">
        <v>1367</v>
      </c>
      <c r="P6">
        <v>91</v>
      </c>
      <c r="Q6">
        <v>98</v>
      </c>
      <c r="R6" t="s">
        <v>82</v>
      </c>
      <c r="S6">
        <v>1447</v>
      </c>
      <c r="T6">
        <v>1371</v>
      </c>
      <c r="U6">
        <v>36</v>
      </c>
      <c r="V6">
        <v>45</v>
      </c>
      <c r="W6" t="s">
        <v>83</v>
      </c>
      <c r="X6">
        <v>1468</v>
      </c>
      <c r="Y6">
        <v>1356</v>
      </c>
      <c r="Z6">
        <v>59</v>
      </c>
      <c r="AA6">
        <v>58</v>
      </c>
      <c r="AC6">
        <f t="shared" si="0"/>
        <v>730.75</v>
      </c>
      <c r="AD6">
        <f t="shared" si="1"/>
        <v>13</v>
      </c>
    </row>
    <row r="7" spans="1:32">
      <c r="A7" t="s">
        <v>84</v>
      </c>
      <c r="B7" t="s">
        <v>85</v>
      </c>
      <c r="C7" t="s">
        <v>326</v>
      </c>
      <c r="D7">
        <v>1479</v>
      </c>
      <c r="E7">
        <v>1308</v>
      </c>
      <c r="F7">
        <v>59</v>
      </c>
      <c r="G7">
        <v>73</v>
      </c>
      <c r="H7" t="s">
        <v>319</v>
      </c>
      <c r="I7">
        <v>1538</v>
      </c>
      <c r="J7">
        <v>1457</v>
      </c>
      <c r="K7">
        <v>17</v>
      </c>
      <c r="L7">
        <v>10</v>
      </c>
      <c r="M7" t="s">
        <v>327</v>
      </c>
      <c r="N7">
        <v>1494</v>
      </c>
      <c r="O7">
        <v>1412</v>
      </c>
      <c r="P7">
        <v>8</v>
      </c>
      <c r="Q7">
        <v>7</v>
      </c>
      <c r="R7" t="s">
        <v>86</v>
      </c>
      <c r="S7">
        <v>1548</v>
      </c>
      <c r="T7">
        <v>1400</v>
      </c>
      <c r="U7">
        <v>47</v>
      </c>
      <c r="V7">
        <v>39</v>
      </c>
      <c r="W7" t="s">
        <v>87</v>
      </c>
      <c r="X7">
        <v>1516</v>
      </c>
      <c r="Y7">
        <v>1408</v>
      </c>
      <c r="Z7">
        <v>29</v>
      </c>
      <c r="AA7">
        <v>26</v>
      </c>
      <c r="AC7">
        <f t="shared" si="0"/>
        <v>754.25</v>
      </c>
      <c r="AD7">
        <f t="shared" si="1"/>
        <v>10</v>
      </c>
    </row>
    <row r="8" spans="1:32">
      <c r="A8" t="s">
        <v>106</v>
      </c>
      <c r="B8" t="s">
        <v>107</v>
      </c>
      <c r="C8" t="s">
        <v>108</v>
      </c>
      <c r="D8">
        <v>1542</v>
      </c>
      <c r="E8">
        <v>1500</v>
      </c>
      <c r="F8">
        <v>155</v>
      </c>
      <c r="G8">
        <v>160</v>
      </c>
      <c r="H8" t="s">
        <v>109</v>
      </c>
      <c r="I8">
        <v>1582</v>
      </c>
      <c r="J8">
        <v>1505</v>
      </c>
      <c r="K8">
        <v>77</v>
      </c>
      <c r="L8">
        <v>81</v>
      </c>
      <c r="M8" t="s">
        <v>110</v>
      </c>
      <c r="N8">
        <v>1589</v>
      </c>
      <c r="O8">
        <v>1522</v>
      </c>
      <c r="P8">
        <v>17</v>
      </c>
      <c r="Q8">
        <v>14</v>
      </c>
      <c r="R8" t="s">
        <v>111</v>
      </c>
      <c r="S8">
        <v>1559</v>
      </c>
      <c r="T8">
        <v>1502</v>
      </c>
      <c r="U8">
        <v>94</v>
      </c>
      <c r="V8">
        <v>90</v>
      </c>
      <c r="W8" t="s">
        <v>112</v>
      </c>
      <c r="X8">
        <v>1591</v>
      </c>
      <c r="Y8">
        <v>1501</v>
      </c>
      <c r="Z8">
        <v>32</v>
      </c>
      <c r="AA8">
        <v>29</v>
      </c>
      <c r="AC8">
        <f t="shared" si="0"/>
        <v>806</v>
      </c>
      <c r="AD8">
        <f t="shared" si="1"/>
        <v>5</v>
      </c>
    </row>
    <row r="9" spans="1:32">
      <c r="A9" t="s">
        <v>216</v>
      </c>
      <c r="B9" t="s">
        <v>217</v>
      </c>
      <c r="C9" t="s">
        <v>344</v>
      </c>
      <c r="D9">
        <v>1344</v>
      </c>
      <c r="E9">
        <v>1415</v>
      </c>
      <c r="F9">
        <v>10</v>
      </c>
      <c r="G9">
        <v>5</v>
      </c>
      <c r="H9" t="s">
        <v>218</v>
      </c>
      <c r="I9">
        <v>1367</v>
      </c>
      <c r="J9">
        <v>1356</v>
      </c>
      <c r="K9">
        <v>26</v>
      </c>
      <c r="L9">
        <v>17</v>
      </c>
      <c r="M9" t="s">
        <v>219</v>
      </c>
      <c r="N9">
        <v>1388</v>
      </c>
      <c r="O9">
        <v>1352</v>
      </c>
      <c r="P9">
        <v>68</v>
      </c>
      <c r="Q9">
        <v>61</v>
      </c>
      <c r="R9" t="s">
        <v>220</v>
      </c>
      <c r="S9">
        <v>1371</v>
      </c>
      <c r="T9">
        <v>1347</v>
      </c>
      <c r="U9">
        <v>30</v>
      </c>
      <c r="V9">
        <v>20</v>
      </c>
      <c r="W9" t="s">
        <v>221</v>
      </c>
      <c r="X9">
        <v>1399</v>
      </c>
      <c r="Y9">
        <v>1359</v>
      </c>
      <c r="Z9">
        <v>28</v>
      </c>
      <c r="AA9">
        <v>19</v>
      </c>
      <c r="AC9">
        <f t="shared" si="0"/>
        <v>693.25</v>
      </c>
      <c r="AD9">
        <f t="shared" si="1"/>
        <v>14</v>
      </c>
    </row>
    <row r="10" spans="1:32">
      <c r="A10" t="s">
        <v>152</v>
      </c>
      <c r="B10" t="s">
        <v>153</v>
      </c>
      <c r="C10" t="s">
        <v>324</v>
      </c>
      <c r="D10">
        <v>1639</v>
      </c>
      <c r="E10">
        <v>1592</v>
      </c>
      <c r="F10">
        <v>50</v>
      </c>
      <c r="G10">
        <v>51</v>
      </c>
      <c r="H10" t="s">
        <v>154</v>
      </c>
      <c r="I10">
        <v>1551</v>
      </c>
      <c r="J10">
        <v>1576</v>
      </c>
      <c r="K10">
        <v>7</v>
      </c>
      <c r="L10">
        <v>14</v>
      </c>
      <c r="M10" t="s">
        <v>155</v>
      </c>
      <c r="N10">
        <v>1701</v>
      </c>
      <c r="O10">
        <v>1664</v>
      </c>
      <c r="P10">
        <v>82</v>
      </c>
      <c r="Q10">
        <v>94</v>
      </c>
      <c r="R10" t="s">
        <v>156</v>
      </c>
      <c r="S10">
        <v>1609</v>
      </c>
      <c r="T10">
        <v>1625</v>
      </c>
      <c r="U10">
        <v>19</v>
      </c>
      <c r="V10">
        <v>31</v>
      </c>
      <c r="W10" t="s">
        <v>325</v>
      </c>
      <c r="X10">
        <v>1709</v>
      </c>
      <c r="Y10">
        <v>1622</v>
      </c>
      <c r="Z10">
        <v>164</v>
      </c>
      <c r="AA10">
        <v>177</v>
      </c>
      <c r="AC10">
        <f t="shared" si="0"/>
        <v>837</v>
      </c>
      <c r="AD10">
        <f t="shared" si="1"/>
        <v>4</v>
      </c>
    </row>
    <row r="11" spans="1:32">
      <c r="A11" t="s">
        <v>157</v>
      </c>
      <c r="B11" t="s">
        <v>158</v>
      </c>
      <c r="C11">
        <v>957</v>
      </c>
      <c r="D11">
        <v>1694</v>
      </c>
      <c r="E11">
        <v>1560</v>
      </c>
      <c r="F11">
        <v>146</v>
      </c>
      <c r="G11">
        <v>134</v>
      </c>
      <c r="H11" t="s">
        <v>338</v>
      </c>
      <c r="I11">
        <v>1469</v>
      </c>
      <c r="J11">
        <v>1427</v>
      </c>
      <c r="K11">
        <v>1</v>
      </c>
      <c r="L11">
        <v>6</v>
      </c>
      <c r="M11" t="s">
        <v>159</v>
      </c>
      <c r="N11">
        <v>1683</v>
      </c>
      <c r="O11">
        <v>1563</v>
      </c>
      <c r="P11">
        <v>182</v>
      </c>
      <c r="Q11">
        <v>166</v>
      </c>
      <c r="R11" t="s">
        <v>160</v>
      </c>
      <c r="S11">
        <v>1683</v>
      </c>
      <c r="T11">
        <v>1563</v>
      </c>
      <c r="U11">
        <v>182</v>
      </c>
      <c r="V11">
        <v>166</v>
      </c>
      <c r="W11" t="s">
        <v>161</v>
      </c>
      <c r="X11">
        <v>1730</v>
      </c>
      <c r="Y11">
        <v>1520</v>
      </c>
      <c r="Z11">
        <v>77</v>
      </c>
      <c r="AA11">
        <v>66</v>
      </c>
      <c r="AC11">
        <f t="shared" si="0"/>
        <v>859.25</v>
      </c>
      <c r="AD11">
        <f t="shared" si="1"/>
        <v>3</v>
      </c>
    </row>
    <row r="12" spans="1:32">
      <c r="A12" t="s">
        <v>168</v>
      </c>
      <c r="B12" t="s">
        <v>169</v>
      </c>
      <c r="C12" t="s">
        <v>170</v>
      </c>
      <c r="D12">
        <v>1576</v>
      </c>
      <c r="E12">
        <v>1474</v>
      </c>
      <c r="F12">
        <v>14</v>
      </c>
      <c r="G12">
        <v>12</v>
      </c>
      <c r="H12" t="s">
        <v>171</v>
      </c>
      <c r="I12">
        <v>1580</v>
      </c>
      <c r="J12">
        <v>1474</v>
      </c>
      <c r="K12">
        <v>40</v>
      </c>
      <c r="L12">
        <v>35</v>
      </c>
      <c r="M12" t="s">
        <v>321</v>
      </c>
      <c r="N12">
        <v>1576</v>
      </c>
      <c r="O12">
        <v>1474</v>
      </c>
      <c r="P12">
        <v>14</v>
      </c>
      <c r="Q12">
        <v>12</v>
      </c>
      <c r="R12" t="s">
        <v>172</v>
      </c>
      <c r="S12">
        <v>1603</v>
      </c>
      <c r="T12">
        <v>1441</v>
      </c>
      <c r="U12">
        <v>73</v>
      </c>
      <c r="V12">
        <v>64</v>
      </c>
      <c r="W12" t="s">
        <v>173</v>
      </c>
      <c r="X12">
        <v>1597</v>
      </c>
      <c r="Y12">
        <v>1453</v>
      </c>
      <c r="Z12">
        <v>37</v>
      </c>
      <c r="AA12">
        <v>34</v>
      </c>
      <c r="AC12">
        <f t="shared" si="0"/>
        <v>769</v>
      </c>
      <c r="AD12">
        <f t="shared" si="1"/>
        <v>9</v>
      </c>
    </row>
    <row r="13" spans="1:32">
      <c r="A13" t="s">
        <v>229</v>
      </c>
      <c r="B13" t="s">
        <v>229</v>
      </c>
      <c r="C13" t="s">
        <v>230</v>
      </c>
      <c r="D13">
        <v>1545</v>
      </c>
      <c r="E13">
        <v>1473</v>
      </c>
      <c r="F13">
        <v>114</v>
      </c>
      <c r="G13">
        <v>101</v>
      </c>
      <c r="H13" t="s">
        <v>367</v>
      </c>
      <c r="I13">
        <v>1644</v>
      </c>
      <c r="J13">
        <v>1451</v>
      </c>
      <c r="K13">
        <v>33</v>
      </c>
      <c r="L13">
        <v>32</v>
      </c>
      <c r="M13" t="s">
        <v>231</v>
      </c>
      <c r="N13">
        <v>1501</v>
      </c>
      <c r="O13">
        <v>1425</v>
      </c>
      <c r="P13">
        <v>86</v>
      </c>
      <c r="Q13">
        <v>75</v>
      </c>
      <c r="R13" t="s">
        <v>232</v>
      </c>
      <c r="S13">
        <v>1482</v>
      </c>
      <c r="T13">
        <v>1372</v>
      </c>
      <c r="U13">
        <v>13</v>
      </c>
      <c r="V13">
        <v>5</v>
      </c>
      <c r="W13" t="s">
        <v>233</v>
      </c>
      <c r="X13">
        <v>1518</v>
      </c>
      <c r="Y13">
        <v>1458</v>
      </c>
      <c r="Z13">
        <v>120</v>
      </c>
      <c r="AA13">
        <v>105</v>
      </c>
      <c r="AC13">
        <f t="shared" si="0"/>
        <v>795.75</v>
      </c>
      <c r="AD13">
        <f t="shared" si="1"/>
        <v>8</v>
      </c>
    </row>
    <row r="14" spans="1:32">
      <c r="A14" t="s">
        <v>192</v>
      </c>
      <c r="B14" t="s">
        <v>193</v>
      </c>
      <c r="C14" t="s">
        <v>194</v>
      </c>
      <c r="D14">
        <v>1558</v>
      </c>
      <c r="E14">
        <v>1636</v>
      </c>
      <c r="F14">
        <v>81</v>
      </c>
      <c r="G14">
        <v>84</v>
      </c>
      <c r="H14" t="s">
        <v>195</v>
      </c>
      <c r="I14">
        <v>1409</v>
      </c>
      <c r="J14">
        <v>1466</v>
      </c>
      <c r="K14">
        <v>53</v>
      </c>
      <c r="L14">
        <v>49</v>
      </c>
      <c r="M14" t="s">
        <v>196</v>
      </c>
      <c r="N14">
        <v>1526</v>
      </c>
      <c r="O14">
        <v>1498</v>
      </c>
      <c r="P14">
        <v>109</v>
      </c>
      <c r="Q14">
        <v>102</v>
      </c>
      <c r="R14" t="s">
        <v>197</v>
      </c>
      <c r="S14">
        <v>1494</v>
      </c>
      <c r="T14">
        <v>1546</v>
      </c>
      <c r="U14">
        <v>126</v>
      </c>
      <c r="V14">
        <v>119</v>
      </c>
      <c r="W14" t="s">
        <v>331</v>
      </c>
      <c r="X14">
        <v>1450</v>
      </c>
      <c r="Y14">
        <v>1544</v>
      </c>
      <c r="Z14">
        <v>14</v>
      </c>
      <c r="AA14">
        <v>11</v>
      </c>
      <c r="AC14">
        <f t="shared" si="0"/>
        <v>804.25</v>
      </c>
      <c r="AD14">
        <f t="shared" si="1"/>
        <v>6</v>
      </c>
    </row>
    <row r="15" spans="1:32">
      <c r="A15" t="s">
        <v>337</v>
      </c>
      <c r="B15" t="s">
        <v>72</v>
      </c>
      <c r="C15" t="s">
        <v>73</v>
      </c>
      <c r="D15">
        <v>1424</v>
      </c>
      <c r="E15">
        <v>1445</v>
      </c>
      <c r="F15">
        <v>29</v>
      </c>
      <c r="G15">
        <v>33</v>
      </c>
      <c r="H15" t="s">
        <v>74</v>
      </c>
      <c r="I15">
        <v>1448</v>
      </c>
      <c r="J15">
        <v>1463</v>
      </c>
      <c r="K15">
        <v>5</v>
      </c>
      <c r="L15">
        <v>10</v>
      </c>
      <c r="M15" t="s">
        <v>75</v>
      </c>
      <c r="N15">
        <v>1435</v>
      </c>
      <c r="O15">
        <v>1452</v>
      </c>
      <c r="P15">
        <v>8</v>
      </c>
      <c r="Q15">
        <v>13</v>
      </c>
      <c r="R15" t="s">
        <v>76</v>
      </c>
      <c r="S15">
        <v>1445</v>
      </c>
      <c r="T15">
        <v>1443</v>
      </c>
      <c r="U15">
        <v>95</v>
      </c>
      <c r="V15">
        <v>95</v>
      </c>
      <c r="W15" t="s">
        <v>77</v>
      </c>
      <c r="X15">
        <v>1423</v>
      </c>
      <c r="Y15">
        <v>1451</v>
      </c>
      <c r="Z15">
        <v>27</v>
      </c>
      <c r="AA15">
        <v>32</v>
      </c>
      <c r="AC15">
        <f t="shared" si="0"/>
        <v>732</v>
      </c>
      <c r="AD15">
        <f t="shared" si="1"/>
        <v>11</v>
      </c>
    </row>
    <row r="16" spans="1:32">
      <c r="A16" t="s">
        <v>239</v>
      </c>
      <c r="B16" t="s">
        <v>240</v>
      </c>
      <c r="C16" t="s">
        <v>342</v>
      </c>
      <c r="D16">
        <v>1632</v>
      </c>
      <c r="E16">
        <v>1662</v>
      </c>
      <c r="F16">
        <v>20</v>
      </c>
      <c r="G16">
        <v>31</v>
      </c>
      <c r="H16" t="s">
        <v>241</v>
      </c>
      <c r="I16">
        <v>1664</v>
      </c>
      <c r="J16">
        <v>1668</v>
      </c>
      <c r="K16">
        <v>35</v>
      </c>
      <c r="L16">
        <v>51</v>
      </c>
      <c r="M16" t="s">
        <v>335</v>
      </c>
      <c r="N16">
        <v>1624</v>
      </c>
      <c r="O16">
        <v>1597</v>
      </c>
      <c r="P16">
        <v>165</v>
      </c>
      <c r="Q16">
        <v>169</v>
      </c>
      <c r="R16" t="s">
        <v>242</v>
      </c>
      <c r="S16">
        <v>1568</v>
      </c>
      <c r="T16">
        <v>1620</v>
      </c>
      <c r="U16">
        <v>13</v>
      </c>
      <c r="V16">
        <v>16</v>
      </c>
      <c r="W16" t="s">
        <v>243</v>
      </c>
      <c r="X16">
        <v>1686</v>
      </c>
      <c r="Y16">
        <v>1664</v>
      </c>
      <c r="Z16">
        <v>71</v>
      </c>
      <c r="AA16">
        <v>78</v>
      </c>
      <c r="AC16">
        <f t="shared" si="0"/>
        <v>874</v>
      </c>
      <c r="AD16">
        <f t="shared" si="1"/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Laskentataulukot</vt:lpstr>
      </vt:variant>
      <vt:variant>
        <vt:i4>8</vt:i4>
      </vt:variant>
      <vt:variant>
        <vt:lpstr>Nimetyt alueet</vt:lpstr>
      </vt:variant>
      <vt:variant>
        <vt:i4>6</vt:i4>
      </vt:variant>
    </vt:vector>
  </HeadingPairs>
  <TitlesOfParts>
    <vt:vector size="14" baseType="lpstr">
      <vt:lpstr>Last_games</vt:lpstr>
      <vt:lpstr>Regions</vt:lpstr>
      <vt:lpstr>EU</vt:lpstr>
      <vt:lpstr>LCK</vt:lpstr>
      <vt:lpstr>Data</vt:lpstr>
      <vt:lpstr>Laskin</vt:lpstr>
      <vt:lpstr>NA</vt:lpstr>
      <vt:lpstr>LPL</vt:lpstr>
      <vt:lpstr>EU!EU_1</vt:lpstr>
      <vt:lpstr>Data!Excel_data</vt:lpstr>
      <vt:lpstr>LCK!LCK_1</vt:lpstr>
      <vt:lpstr>LPL!LPL_1</vt:lpstr>
      <vt:lpstr>NA!NA_1</vt:lpstr>
      <vt:lpstr>Last_games!Team_last_game_data_1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tomi</cp:lastModifiedBy>
  <dcterms:created xsi:type="dcterms:W3CDTF">2018-01-16T13:29:25Z</dcterms:created>
  <dcterms:modified xsi:type="dcterms:W3CDTF">2018-08-18T23:49:02Z</dcterms:modified>
</cp:coreProperties>
</file>