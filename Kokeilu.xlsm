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i\Desktop\e-sports\"/>
    </mc:Choice>
  </mc:AlternateContent>
  <xr:revisionPtr revIDLastSave="0" documentId="13_ncr:1_{B1904020-37D9-4765-9102-7B500593CA66}" xr6:coauthVersionLast="34" xr6:coauthVersionMax="34" xr10:uidLastSave="{00000000-0000-0000-0000-000000000000}"/>
  <bookViews>
    <workbookView xWindow="9435" yWindow="435" windowWidth="17880" windowHeight="17565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Data!$A$1:$Q$65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Last_games!$A$1:$P$65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0" i="2" l="1"/>
  <c r="I24" i="1"/>
  <c r="E113" i="2"/>
  <c r="D79" i="2"/>
  <c r="D6" i="1"/>
  <c r="D7" i="1"/>
  <c r="D8" i="1"/>
  <c r="D9" i="1"/>
  <c r="D10" i="1"/>
  <c r="D12" i="1"/>
  <c r="D89" i="2"/>
  <c r="D90" i="2"/>
  <c r="F113" i="2"/>
  <c r="H3" i="1"/>
  <c r="G3" i="1"/>
  <c r="L6" i="1"/>
  <c r="L7" i="1"/>
  <c r="L8" i="1"/>
  <c r="L9" i="1"/>
  <c r="L10" i="1"/>
  <c r="L12" i="1"/>
  <c r="D93" i="2"/>
  <c r="D91" i="2"/>
  <c r="D92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86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105" i="2"/>
  <c r="F105" i="2"/>
  <c r="I28" i="1"/>
  <c r="M10" i="1"/>
  <c r="M6" i="1"/>
  <c r="K9" i="1"/>
  <c r="K30" i="1"/>
  <c r="D108" i="2"/>
  <c r="F108" i="2"/>
  <c r="K26" i="1"/>
  <c r="D104" i="2"/>
  <c r="F104" i="2"/>
  <c r="I27" i="1"/>
  <c r="K8" i="1"/>
  <c r="L28" i="1"/>
  <c r="K29" i="1"/>
  <c r="I30" i="1"/>
  <c r="I26" i="1"/>
  <c r="E19" i="1"/>
  <c r="M8" i="1"/>
  <c r="K7" i="1"/>
  <c r="K28" i="1"/>
  <c r="D106" i="2"/>
  <c r="F106" i="2"/>
  <c r="K10" i="1"/>
  <c r="L29" i="1"/>
  <c r="M9" i="1"/>
  <c r="L27" i="1"/>
  <c r="I29" i="1"/>
  <c r="M7" i="1"/>
  <c r="K6" i="1"/>
  <c r="F29" i="1"/>
  <c r="E30" i="1"/>
  <c r="C108" i="2"/>
  <c r="E108" i="2"/>
  <c r="E26" i="1"/>
  <c r="C104" i="2"/>
  <c r="E104" i="2"/>
  <c r="C27" i="1"/>
  <c r="E7" i="1"/>
  <c r="C7" i="1"/>
  <c r="E29" i="1"/>
  <c r="C107" i="2"/>
  <c r="E107" i="2"/>
  <c r="C30" i="1"/>
  <c r="C26" i="1"/>
  <c r="E10" i="1"/>
  <c r="C10" i="1"/>
  <c r="C6" i="1"/>
  <c r="E28" i="1"/>
  <c r="C106" i="2"/>
  <c r="E106" i="2"/>
  <c r="C29" i="1"/>
  <c r="C9" i="1"/>
  <c r="F30" i="1"/>
  <c r="E27" i="1"/>
  <c r="C105" i="2"/>
  <c r="E105" i="2"/>
  <c r="D19" i="1"/>
  <c r="E8" i="1"/>
  <c r="F28" i="1"/>
  <c r="E6" i="1"/>
  <c r="F27" i="1"/>
  <c r="E9" i="1"/>
  <c r="F26" i="1"/>
  <c r="C28" i="1"/>
  <c r="C8" i="1"/>
  <c r="D107" i="2"/>
  <c r="F107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96" i="2"/>
  <c r="D97" i="2"/>
  <c r="E20" i="1"/>
  <c r="D99" i="2"/>
  <c r="E21" i="1"/>
  <c r="G21" i="1"/>
  <c r="D20" i="1"/>
  <c r="D100" i="2"/>
  <c r="J97" i="2"/>
  <c r="J17" i="1"/>
  <c r="K17" i="1"/>
  <c r="J95" i="2"/>
  <c r="J94" i="2"/>
  <c r="D21" i="1"/>
  <c r="F21" i="1"/>
  <c r="F20" i="1"/>
  <c r="D22" i="1"/>
  <c r="F22" i="1"/>
  <c r="G20" i="1"/>
  <c r="E22" i="1"/>
  <c r="G22" i="1"/>
  <c r="D17" i="1"/>
  <c r="E17" i="1"/>
  <c r="J91" i="2"/>
  <c r="J92" i="2"/>
  <c r="J15" i="1"/>
  <c r="K15" i="1"/>
  <c r="D15" i="1"/>
  <c r="E15" i="1"/>
  <c r="J21" i="1"/>
  <c r="K21" i="1"/>
  <c r="J96" i="2"/>
  <c r="J16" i="1"/>
  <c r="K16" i="1"/>
  <c r="J98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saveData="1">
    <textPr prompt="0" codePage="850" sourceFile="C:\Users\tomi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codePage="850" sourceFile="C:\Users\tomi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<sst xmlns="http://schemas.openxmlformats.org/spreadsheetml/2006/main" count="2138" uniqueCount="672">
  <si>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</si>
  <si>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</si>
  <si>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</si>
  <si>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</si>
  <si>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</si>
  <si>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</si>
  <si>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</si>
  <si>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</si>
  <si>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</si>
  <si>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</si>
  <si>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</si>
  <si>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</si>
  <si>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</si>
  <si>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</si>
  <si>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</si>
  <si>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</si>
  <si>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</si>
  <si>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</si>
  <si>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</si>
  <si>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</si>
  <si>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</si>
  <si>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</si>
  <si>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</si>
  <si>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</si>
  <si>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</si>
  <si>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</si>
  <si>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</si>
  <si>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</si>
  <si>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</si>
  <si>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</si>
  <si>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</si>
  <si>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</si>
  <si>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</si>
  <si>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</si>
  <si>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</si>
  <si>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</si>
  <si>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</si>
  <si>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</si>
  <si>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</si>
  <si>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</si>
  <si>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</si>
  <si>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</si>
  <si>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</si>
  <si>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</si>
  <si>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</si>
  <si>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</si>
  <si>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</si>
  <si>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</si>
  <si>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</si>
  <si>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</si>
  <si>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</si>
  <si>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</si>
  <si>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</si>
  <si>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</si>
  <si>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</si>
  <si>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</si>
  <si>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</si>
  <si>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</si>
  <si>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</si>
  <si>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</si>
  <si>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</si>
  <si>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</si>
  <si>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</si>
  <si>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</si>
  <si>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</si>
  <si>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</si>
  <si>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</si>
  <si>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</si>
  <si>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</si>
  <si>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</si>
  <si>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</si>
  <si>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</si>
  <si>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</si>
  <si>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</si>
  <si>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</si>
  <si>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</si>
  <si>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</si>
  <si>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</si>
  <si>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</si>
  <si>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</si>
  <si>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</si>
  <si>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</si>
  <si>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</si>
  <si>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</si>
  <si>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</si>
  <si>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</si>
  <si>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</si>
  <si>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</si>
  <si>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</si>
  <si>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</si>
  <si>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</si>
  <si>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</si>
  <si>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</si>
  <si>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</si>
  <si>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</si>
  <si>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</si>
  <si>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</si>
  <si>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</si>
  <si>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</si>
  <si>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</si>
  <si>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</si>
  <si>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</si>
  <si>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</si>
  <si>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</si>
  <si>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</si>
  <si>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</si>
  <si>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</si>
  <si>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</si>
  <si>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</si>
  <si>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</si>
  <si>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</si>
  <si>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</si>
  <si>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</si>
  <si>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</si>
  <si>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</si>
  <si>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</si>
  <si>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</si>
  <si>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</si>
  <si>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</si>
  <si>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</si>
  <si>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</si>
  <si>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</si>
  <si>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</si>
  <si>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</si>
  <si>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</si>
  <si>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</si>
  <si>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</si>
  <si>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</si>
  <si>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</si>
  <si>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</si>
  <si>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</si>
  <si>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</si>
  <si>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</si>
  <si>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</si>
  <si>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</si>
  <si>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</si>
  <si>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</si>
  <si>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</si>
  <si>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</si>
  <si>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</si>
  <si>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</si>
  <si>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</si>
  <si>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</si>
  <si>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</si>
  <si>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</si>
  <si>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</si>
  <si>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</si>
  <si>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</si>
  <si>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</si>
  <si>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</si>
  <si>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</si>
  <si>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</si>
  <si>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</si>
  <si>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</si>
  <si>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</si>
  <si>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</si>
  <si>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</si>
  <si>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</si>
  <si>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</si>
  <si>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</si>
  <si>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</si>
  <si>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</si>
  <si>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</si>
  <si>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</si>
  <si>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</si>
  <si>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</si>
  <si>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</si>
  <si>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</si>
  <si>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</si>
  <si>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</si>
  <si>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</si>
  <si>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</si>
  <si>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</si>
  <si>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</si>
  <si>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</si>
  <si>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</si>
  <si>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</si>
  <si>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</si>
  <si>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</si>
  <si>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</si>
  <si>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</si>
  <si>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</si>
  <si>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</si>
  <si>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</si>
  <si>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</si>
  <si>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</si>
  <si>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</si>
  <si>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</si>
  <si>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</si>
  <si>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</si>
  <si>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</si>
  <si>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</si>
  <si>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</si>
  <si>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</si>
  <si>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</si>
  <si>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</si>
  <si>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</si>
  <si>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</si>
  <si>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</si>
  <si>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</si>
  <si>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</si>
  <si>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</si>
  <si>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</si>
  <si>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</si>
  <si>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</si>
  <si>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</si>
  <si>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</si>
  <si>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</si>
  <si>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</si>
  <si>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</si>
  <si>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</si>
  <si>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</si>
  <si>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</si>
  <si>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</si>
  <si>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</si>
  <si>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</si>
  <si>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</si>
  <si>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</si>
  <si>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</si>
  <si>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</si>
  <si>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</si>
  <si>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</si>
  <si>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</si>
  <si>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</si>
  <si>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</si>
  <si>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</si>
  <si>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</si>
  <si>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</si>
  <si>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</si>
  <si>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</si>
  <si>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</si>
  <si>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</si>
  <si>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</si>
  <si>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</si>
  <si>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</si>
  <si>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</si>
  <si>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</si>
  <si>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</si>
  <si>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</si>
  <si>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</si>
  <si>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</si>
  <si>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</si>
  <si>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</si>
  <si>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</si>
  <si>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</si>
  <si>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</si>
  <si>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</si>
  <si>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</si>
  <si>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</si>
  <si>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</si>
  <si>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</si>
  <si>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</si>
  <si>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</si>
  <si>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</si>
  <si>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</si>
  <si>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</si>
  <si>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</si>
  <si>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</si>
  <si>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</si>
  <si>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</si>
  <si>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</si>
  <si>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</si>
  <si>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</si>
  <si>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</si>
  <si>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</si>
  <si>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</si>
  <si>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</si>
  <si>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</si>
  <si>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</si>
  <si>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</si>
  <si>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</si>
  <si>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</si>
  <si>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</si>
  <si>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</si>
  <si>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</si>
  <si>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</si>
  <si>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</si>
  <si>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</si>
  <si>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</si>
  <si>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</si>
  <si>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</si>
  <si>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</si>
  <si>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</si>
  <si>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</si>
  <si>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</si>
  <si>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</si>
  <si>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</si>
  <si>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</si>
  <si>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</si>
  <si>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</si>
  <si>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</si>
  <si>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</si>
  <si>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</si>
  <si>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</si>
  <si>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</si>
  <si>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</si>
  <si>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</si>
  <si>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</si>
  <si>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</si>
  <si>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</si>
  <si>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</si>
  <si>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</si>
  <si>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</si>
  <si>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</si>
  <si>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</si>
  <si>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</si>
  <si>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</si>
  <si>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</si>
  <si>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</si>
  <si>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</si>
  <si>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</si>
  <si>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</si>
  <si>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</si>
  <si>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</si>
  <si>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</si>
  <si>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</si>
  <si>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</si>
  <si>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</si>
  <si>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</si>
  <si>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</si>
  <si>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</si>
  <si>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</si>
  <si>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</si>
  <si>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</si>
  <si>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</si>
  <si>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</si>
  <si>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</si>
  <si>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</si>
  <si>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</si>
  <si>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</si>
  <si>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</si>
  <si>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</si>
  <si>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</si>
  <si>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</si>
  <si>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</si>
  <si>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</si>
  <si>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</si>
  <si>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</si>
  <si>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</si>
  <si>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</si>
  <si>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</si>
  <si>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</si>
  <si>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</si>
  <si>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</si>
  <si>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</si>
  <si>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</si>
  <si>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</si>
  <si>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</si>
  <si>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</si>
  <si>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</si>
  <si>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</si>
  <si>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</si>
  <si>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</si>
  <si>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</si>
  <si>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</si>
  <si>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</si>
  <si>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</si>
  <si>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</si>
  <si>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</si>
  <si>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</si>
  <si>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</si>
  <si>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</si>
  <si>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</si>
  <si>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</si>
  <si>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</si>
  <si>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</si>
  <si>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</si>
  <si>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</si>
  <si>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</si>
  <si>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</si>
  <si>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</si>
  <si>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</si>
  <si>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</si>
  <si>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</si>
  <si>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</si>
  <si>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</si>
  <si>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</si>
  <si>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</si>
  <si>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</si>
  <si>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</si>
  <si>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</si>
  <si>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</si>
  <si>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</si>
  <si>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</si>
  <si>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</si>
  <si>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</si>
  <si>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</si>
  <si>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</si>
  <si>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</si>
  <si>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</si>
  <si>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</si>
  <si>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</si>
  <si>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</si>
  <si>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</si>
  <si>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SmittyJ,Shook,Selfie,Sheriff,Promisq</t>
  </si>
  <si>
    <t>1907 Fenerbahce</t>
  </si>
  <si>
    <t>Thaldrin</t>
  </si>
  <si>
    <t>Frozen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</si>
  <si>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</si>
  <si>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</si>
  <si>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</si>
  <si>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</si>
  <si>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</si>
  <si>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</si>
  <si>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</si>
  <si>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</si>
  <si>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</si>
  <si>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</si>
  <si>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</si>
  <si>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</si>
  <si>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</si>
  <si>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</si>
  <si>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</si>
  <si>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</si>
  <si>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</si>
  <si>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</si>
  <si>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</si>
  <si>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</si>
  <si>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</si>
  <si>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</si>
  <si>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</si>
  <si>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</si>
  <si>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</si>
  <si>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</si>
  <si>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</si>
  <si>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</si>
  <si>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</si>
  <si>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</si>
  <si>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</si>
  <si>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</si>
  <si>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</si>
  <si>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</si>
  <si>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</si>
  <si>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</si>
  <si>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</si>
  <si>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</si>
  <si>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</si>
  <si>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</si>
  <si>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</si>
  <si>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</si>
  <si>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</si>
  <si>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</si>
  <si>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</si>
  <si>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</si>
  <si>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</si>
  <si>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</si>
  <si>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</si>
  <si>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</si>
  <si>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</si>
  <si>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</si>
  <si>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</si>
  <si>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</si>
  <si>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</si>
  <si>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</si>
  <si>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</si>
  <si>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</si>
  <si>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</si>
  <si>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</si>
  <si>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</si>
  <si>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</si>
  <si>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</si>
  <si>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</si>
  <si>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</si>
  <si>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</si>
  <si>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</si>
  <si>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</si>
  <si>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</si>
  <si>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</si>
  <si>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</si>
  <si>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</si>
  <si>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</si>
  <si>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</si>
  <si>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</si>
  <si>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</si>
  <si>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</si>
  <si>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</si>
  <si>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</si>
  <si>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</si>
  <si>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</si>
  <si>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</si>
  <si>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</si>
  <si>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</si>
  <si>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</si>
  <si>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</si>
  <si>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</si>
  <si>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</si>
  <si>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Cabochard,Gilius,Jiizuke,Attila,Jacktroll</t>
  </si>
  <si>
    <t>Flame,Santorin,Keane,WildTurtle,JayJ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</si>
  <si>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</si>
  <si>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</si>
  <si>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</si>
  <si>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</si>
  <si>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</si>
  <si>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Lourlo,Contractz,Mickey,Deftly,Matt</t>
  </si>
  <si>
    <t>Vizicsacsi,Nukeduck,Amazing,UpseT,VandeR</t>
  </si>
  <si>
    <t>ssumday,AnDa,Ryu,Cody Sun,Aphromoo</t>
  </si>
  <si>
    <t>Griffin</t>
  </si>
  <si>
    <t>Flandre,SofM,Guoguo,Light,Maestro</t>
  </si>
  <si>
    <t>Elwind,Mojito,MagiFelix,Madness,Japone</t>
  </si>
  <si>
    <t>Huni,Dardoch,Damonte,Altec,Feng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</si>
  <si>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</si>
  <si>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</si>
  <si>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</si>
  <si>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</si>
  <si>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</si>
  <si>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</si>
  <si>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Darshan,Huhi,Reignover,Stixxay,Biofrost</t>
  </si>
  <si>
    <t>Licorice,Blaber,Jensen,Sneaky,Zeyzal</t>
  </si>
  <si>
    <t>Thal,blank,Pirean,Bang,Effort</t>
  </si>
  <si>
    <t>Moyu,Xx,Corn,Qiuqiu,CAT</t>
  </si>
  <si>
    <t>Duke,Ning,Rookie,JackeyLove,Baolan</t>
  </si>
  <si>
    <t>Move</t>
  </si>
  <si>
    <t>Only35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</si>
  <si>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</si>
  <si>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</si>
  <si>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</si>
  <si>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</si>
  <si>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</si>
  <si>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</si>
  <si>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</si>
  <si>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</si>
  <si>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</si>
  <si>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</si>
  <si>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</si>
  <si>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</si>
  <si>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</si>
  <si>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</si>
  <si>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</si>
  <si>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</si>
  <si>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</si>
  <si>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</si>
  <si>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</si>
  <si>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</si>
  <si>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Rascal,Peanut,Bdd,PraY,GorillA</t>
  </si>
  <si>
    <t>Alex</t>
  </si>
  <si>
    <t>Cool</t>
  </si>
  <si>
    <t>Swift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</si>
  <si>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</si>
  <si>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</si>
  <si>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</si>
  <si>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</si>
  <si>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</si>
  <si>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</si>
  <si>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</si>
  <si>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</si>
  <si>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</si>
  <si>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</si>
  <si>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</si>
  <si>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SmittyJ,Caedrel,Shook,Sheriff,Promisq</t>
  </si>
  <si>
    <t>Cabochard,Kikis,Jiizuke,Attila,Jacktroll</t>
  </si>
  <si>
    <t>Motive</t>
  </si>
  <si>
    <t>Xx</t>
  </si>
  <si>
    <t>Blaber</t>
  </si>
  <si>
    <t>Dhokla</t>
  </si>
  <si>
    <t>ADD,Yondu,Ian,Pilot,Max KR</t>
  </si>
  <si>
    <t>Xiyang,World6,icon,Chelly,Five</t>
  </si>
  <si>
    <t>Huni,Dardoch,Damonte,Lost,Smoothie</t>
  </si>
  <si>
    <t>Solo,Moon,Febiven,Piglet,Vulcan</t>
  </si>
  <si>
    <t>Lost</t>
  </si>
  <si>
    <t>Phong Vu Buffalo</t>
  </si>
  <si>
    <t>Panky,Kirei,Humanoid,Luger,LongB</t>
  </si>
  <si>
    <t>World6</t>
  </si>
  <si>
    <t>Kiin,Mowgli,kurO,Aiming,TusiN</t>
  </si>
  <si>
    <t>Yueguan,Swift,FireRain,Snow,Caveman</t>
  </si>
  <si>
    <t>SmittyJ,Caedrel,Larssen,Sheriff,Promisq</t>
  </si>
  <si>
    <t>ahq Esports</t>
  </si>
  <si>
    <t>Armut,Trix,telracS,Innaxe</t>
  </si>
  <si>
    <t>Ray,Clearlove,Scout,iBOY,Meiko</t>
  </si>
  <si>
    <t>957,Condi,xiye,Mystic,Missing</t>
  </si>
  <si>
    <t>Missing</t>
  </si>
  <si>
    <t>Zz1tai,Karsa,xiaohu,Uzi,Ming</t>
  </si>
  <si>
    <t>Vikings Gaming</t>
  </si>
  <si>
    <t>FTV Esports</t>
  </si>
  <si>
    <t>MMd,MooJin,Maple,Betty,ShiauC</t>
  </si>
  <si>
    <t>Team Afro</t>
  </si>
  <si>
    <t>Hanabi,MooJin,Maple,Betty,ShiauC</t>
  </si>
  <si>
    <t>Elwind,Sacage,MagiFelix,Madness,Japone</t>
  </si>
  <si>
    <t>Xiyang,Jiekou,icon,Chelly,Five</t>
  </si>
  <si>
    <t>TheShy,Ning,Rookie,JackeyLove,Baolan</t>
  </si>
  <si>
    <t>CuVee,Ambition,Crown,Ruler,CoreJJ</t>
  </si>
  <si>
    <t>AmazingJ,M1anhua,Athena,jinjiao,Road</t>
  </si>
  <si>
    <t>100 Thieves Academy</t>
  </si>
  <si>
    <t>100.A</t>
  </si>
  <si>
    <t>Brandini</t>
  </si>
  <si>
    <t>Levi</t>
  </si>
  <si>
    <t>Linsanity</t>
  </si>
  <si>
    <t>Rikara</t>
  </si>
  <si>
    <t>CLG Academy</t>
  </si>
  <si>
    <t>CLG.A</t>
  </si>
  <si>
    <t>Wiggily</t>
  </si>
  <si>
    <t>Fill</t>
  </si>
  <si>
    <t>Cloud 9 Academy</t>
  </si>
  <si>
    <t>C9.A</t>
  </si>
  <si>
    <t>Shiro</t>
  </si>
  <si>
    <t>Goldenglue</t>
  </si>
  <si>
    <t>KEITH</t>
  </si>
  <si>
    <t>Feng</t>
  </si>
  <si>
    <t>Clutch Gaming Academy</t>
  </si>
  <si>
    <t>CG.A</t>
  </si>
  <si>
    <t>Maxtrobo</t>
  </si>
  <si>
    <t>Moon</t>
  </si>
  <si>
    <t>Sun</t>
  </si>
  <si>
    <t>Piglet</t>
  </si>
  <si>
    <t>Vulcan</t>
  </si>
  <si>
    <t>Echo Fox Academy</t>
  </si>
  <si>
    <t>EF.A</t>
  </si>
  <si>
    <t>NintendudeX</t>
  </si>
  <si>
    <t>Spica</t>
  </si>
  <si>
    <t>Yusui</t>
  </si>
  <si>
    <t>Cake</t>
  </si>
  <si>
    <t>Mabrey</t>
  </si>
  <si>
    <t>FlyQuest Academy</t>
  </si>
  <si>
    <t>FLY.A</t>
  </si>
  <si>
    <t>Ngo</t>
  </si>
  <si>
    <t>Erry</t>
  </si>
  <si>
    <t>Kwon</t>
  </si>
  <si>
    <t>Golden Guardians Academy</t>
  </si>
  <si>
    <t>GGS.A</t>
  </si>
  <si>
    <t>Potluck</t>
  </si>
  <si>
    <t>bobqin</t>
  </si>
  <si>
    <t>Benji</t>
  </si>
  <si>
    <t>Sheep</t>
  </si>
  <si>
    <t>OpTic Gaming Academy</t>
  </si>
  <si>
    <t>OPT.A</t>
  </si>
  <si>
    <t>Fanatiik</t>
  </si>
  <si>
    <t>Palafox</t>
  </si>
  <si>
    <t>Eclipse</t>
  </si>
  <si>
    <t>Gate</t>
  </si>
  <si>
    <t>TSM Academy</t>
  </si>
  <si>
    <t>TSM.A</t>
  </si>
  <si>
    <t>PieCakeLord</t>
  </si>
  <si>
    <t>Ablazeolive</t>
  </si>
  <si>
    <t>Shady</t>
  </si>
  <si>
    <t>Team Liquid Academy</t>
  </si>
  <si>
    <t>TL.A</t>
  </si>
  <si>
    <t>V1PER</t>
  </si>
  <si>
    <t>Hard</t>
  </si>
  <si>
    <t>Insanity</t>
  </si>
  <si>
    <t>Shoryu</t>
  </si>
  <si>
    <t>Joey</t>
  </si>
  <si>
    <t>Allorim,Fanatiik,Palafox,Eclipse,Gate</t>
  </si>
  <si>
    <t>NintendudeX,TheOddOrange,Yusui,Lost,Mabrey</t>
  </si>
  <si>
    <t>NintendudeX,Spica,Yusui,Cake,Mabrey</t>
  </si>
  <si>
    <t>Ngo,Meteos,Pekin Woof,Erry,Kwon</t>
  </si>
  <si>
    <t>Maxtrobo,Moon,Sun,Piglet,Vulcan</t>
  </si>
  <si>
    <t>Maxtrobo,Lira,Sun,Apollo,Hakuho</t>
  </si>
  <si>
    <t>FallenBandit,Wiggily,Shadow,Zag,Fill</t>
  </si>
  <si>
    <t>V1PER,Hard,Insanity,Shoryu,Joey</t>
  </si>
  <si>
    <t>Zig,Potluck,bobqin,Benji,Sheep</t>
  </si>
  <si>
    <t>Kiin,Spirit,kurO,Kramer,TusiN</t>
  </si>
  <si>
    <t>Brandini,Levi,Linsanity,Rikara,Stunt</t>
  </si>
  <si>
    <t>Shiro,Svenskeren,Goldenglue,KEITH,Smoothie</t>
  </si>
  <si>
    <t>Shiro,Svenskeren,Goldenglue,KEITH,Feng</t>
  </si>
  <si>
    <t>Mr RalleZ</t>
  </si>
  <si>
    <t>PieCakeLord,MikeYeung,Ablazeolive,Mr RalleZ,Shady</t>
  </si>
  <si>
    <t>FallenBandit</t>
  </si>
  <si>
    <t>Shadow</t>
  </si>
  <si>
    <t>Zag</t>
  </si>
  <si>
    <t>Pekin Woof</t>
  </si>
  <si>
    <t>Allorim</t>
  </si>
  <si>
    <t>Uzi</t>
  </si>
  <si>
    <t>Coco</t>
  </si>
  <si>
    <t>Xintai</t>
  </si>
  <si>
    <t>Mlxg</t>
  </si>
  <si>
    <t>Snow</t>
  </si>
  <si>
    <t>Thal,blank,Faker,Bang,Effort</t>
  </si>
  <si>
    <t>Aodi</t>
  </si>
  <si>
    <t>Aodi,Swift,FireRain,Snow,Caveman</t>
  </si>
  <si>
    <t>Aodi,Swift,Coco,Martin,Xintai</t>
  </si>
  <si>
    <t>Selfie</t>
  </si>
  <si>
    <t>Shook</t>
  </si>
  <si>
    <t>Jesiz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</si>
</sst>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Avattu hyperlinkki" xfId="3" builtinId="9" hidden="1"/>
    <cellStyle name="Avattu hyperlinkki" xfId="5" builtinId="9" hidden="1"/>
    <cellStyle name="Avattu hyperlinkki" xfId="7" builtinId="9" hidden="1"/>
    <cellStyle name="Avattu hyperlinkki" xfId="9" builtinId="9" hidden="1"/>
    <cellStyle name="Avattu hyperlinkki" xfId="11" builtinId="9" hidden="1"/>
    <cellStyle name="Avattu hyperlinkki" xfId="13" builtinId="9" hidden="1"/>
    <cellStyle name="Avattu hyperlinkki" xfId="15" builtinId="9" hidden="1"/>
    <cellStyle name="Avattu hyperlinkki" xfId="17" builtinId="9" hidden="1"/>
    <cellStyle name="Avattu hyperlinkki" xfId="19" builtinId="9" hidden="1"/>
    <cellStyle name="Avattu hyperlinkki" xfId="21" builtinId="9" hidden="1"/>
    <cellStyle name="Avattu hyperlinkki" xfId="23" builtinId="9" hidden="1"/>
    <cellStyle name="Avattu hyperlinkki" xfId="25" builtinId="9" hidden="1"/>
    <cellStyle name="Avattu hyperlinkki" xfId="27" builtinId="9" hidden="1"/>
    <cellStyle name="Avattu hyperlinkki" xfId="29" builtinId="9" hidden="1"/>
    <cellStyle name="Avattu hyperlinkki" xfId="31" builtinId="9" hidden="1"/>
    <cellStyle name="Avattu hyperlinkki" xfId="33" builtinId="9" hidden="1"/>
    <cellStyle name="Avattu hyperlinkki" xfId="35" builtinId="9" hidden="1"/>
    <cellStyle name="Avattu hyperlinkki" xfId="37" builtinId="9" hidden="1"/>
    <cellStyle name="Avattu hyperlinkki" xfId="39" builtinId="9" hidden="1"/>
    <cellStyle name="Avattu hyperlinkki" xfId="41" builtinId="9" hidden="1"/>
    <cellStyle name="Avattu hyperlinkki" xfId="43" builtinId="9" hidden="1"/>
    <cellStyle name="Avattu hyperlinkki" xfId="45" builtinId="9" hidden="1"/>
    <cellStyle name="Avattu hyperlinkki" xfId="47" builtinId="9" hidden="1"/>
    <cellStyle name="Hyperlinkki" xfId="2" builtinId="8" hidden="1"/>
    <cellStyle name="Hyperlinkki" xfId="4" builtinId="8" hidden="1"/>
    <cellStyle name="Hyperlinkki" xfId="6" builtinId="8" hidden="1"/>
    <cellStyle name="Hyperlinkki" xfId="8" builtinId="8" hidden="1"/>
    <cellStyle name="Hyperlinkki" xfId="10" builtinId="8" hidden="1"/>
    <cellStyle name="Hyperlinkki" xfId="12" builtinId="8" hidden="1"/>
    <cellStyle name="Hyperlinkki" xfId="14" builtinId="8" hidden="1"/>
    <cellStyle name="Hyperlinkki" xfId="16" builtinId="8" hidden="1"/>
    <cellStyle name="Hyperlinkki" xfId="18" builtinId="8" hidden="1"/>
    <cellStyle name="Hyperlinkki" xfId="20" builtinId="8" hidden="1"/>
    <cellStyle name="Hyperlinkki" xfId="22" builtinId="8" hidden="1"/>
    <cellStyle name="Hyperlinkki" xfId="24" builtinId="8" hidden="1"/>
    <cellStyle name="Hyperlinkki" xfId="26" builtinId="8" hidden="1"/>
    <cellStyle name="Hyperlinkki" xfId="28" builtinId="8" hidden="1"/>
    <cellStyle name="Hyperlinkki" xfId="30" builtinId="8" hidden="1"/>
    <cellStyle name="Hyperlinkki" xfId="32" builtinId="8" hidden="1"/>
    <cellStyle name="Hyperlinkki" xfId="34" builtinId="8" hidden="1"/>
    <cellStyle name="Hyperlinkki" xfId="36" builtinId="8" hidden="1"/>
    <cellStyle name="Hyperlinkki" xfId="38" builtinId="8" hidden="1"/>
    <cellStyle name="Hyperlinkki" xfId="40" builtinId="8" hidden="1"/>
    <cellStyle name="Hyperlinkki" xfId="42" builtinId="8" hidden="1"/>
    <cellStyle name="Hyperlinkki" xfId="44" builtinId="8" hidden="1"/>
    <cellStyle name="Hyperlinkki" xfId="46" builtinId="8" hidden="1"/>
    <cellStyle name="Normaali" xfId="0" builtinId="0"/>
    <cellStyle name="Prosenttia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79:$C$79" fmlaRange="Data!$A$1:$A$65" sel="21" val="13"/>
</file>

<file path=xl/ctrlProps/ctrlProp3.xml><?xml version="1.0" encoding="utf-8"?>
<formControlPr xmlns="http://schemas.microsoft.com/office/spreadsheetml/2009/9/main" objectType="Drop" dropLines="52" dropStyle="combo" dx="16" fmlaLink="Data!$C$80:$C$80" fmlaRange="Data!$A$1:$A$65" sel="26" val="13"/>
</file>

<file path=xl/ctrlProps/ctrlProp4.xml><?xml version="1.0" encoding="utf-8"?>
<formControlPr xmlns="http://schemas.microsoft.com/office/spreadsheetml/2009/9/main" objectType="Drop" dropLines="52" dropStyle="combo" dx="16" fmlaLink="Data!$D$85" fmlaRange="Data!$C$85:$C$87" sel="1" val="0"/>
</file>

<file path=xl/ctrlProps/ctrlProp5.xml><?xml version="1.0" encoding="utf-8"?>
<formControlPr xmlns="http://schemas.microsoft.com/office/spreadsheetml/2009/9/main" objectType="Scroll" dx="16" fmlaLink="Data!$E$89" horiz="1" inc="5" max="100" page="5" val="67"/>
</file>

<file path=xl/ctrlProps/ctrlProp6.xml><?xml version="1.0" encoding="utf-8"?>
<formControlPr xmlns="http://schemas.microsoft.com/office/spreadsheetml/2009/9/main" objectType="Drop" dropLines="52" dropStyle="combo" dx="16" fmlaLink="Data!$E$112" fmlaRange="Data!$C$112:$C$119" sel="1" val="0"/>
</file>

<file path=xl/ctrlProps/ctrlProp7.xml><?xml version="1.0" encoding="utf-8"?>
<formControlPr xmlns="http://schemas.microsoft.com/office/spreadsheetml/2009/9/main" objectType="Drop" dropLines="52" dropStyle="combo" dx="16" fmlaLink="Data!$F$112" fmlaRange="Data!$C$112:$C$119" sel="1" val="0"/>
</file>

<file path=xl/ctrlProps/ctrlProp8.xml><?xml version="1.0" encoding="utf-8"?>
<formControlPr xmlns="http://schemas.microsoft.com/office/spreadsheetml/2009/9/main" objectType="Drop" dropLines="52" dropStyle="combo" dx="16" fmlaLink="Data!$D$121" fmlaRange="Data!$C$121:$C$122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65"/>
  <sheetViews>
    <sheetView workbookViewId="0"/>
  </sheetViews>
  <sheetFormatPr defaultColWidth="11" defaultRowHeight="15.75"/>
  <cols>
    <col min="1" max="1" width="23.625" bestFit="1" customWidth="1"/>
    <col min="2" max="2" width="44.75" bestFit="1" customWidth="1"/>
    <col min="3" max="3" width="4.25" bestFit="1" customWidth="1"/>
    <col min="4" max="4" width="23.625" bestFit="1" customWidth="1"/>
    <col min="5" max="5" width="44.75" bestFit="1" customWidth="1"/>
    <col min="6" max="6" width="4.25" bestFit="1" customWidth="1"/>
    <col min="7" max="7" width="23.625" bestFit="1" customWidth="1"/>
    <col min="8" max="8" width="44.75" bestFit="1" customWidth="1"/>
    <col min="9" max="9" width="4.25" bestFit="1" customWidth="1"/>
    <col min="10" max="10" width="23.625" bestFit="1" customWidth="1"/>
    <col min="11" max="11" width="44.75" bestFit="1" customWidth="1"/>
    <col min="12" max="12" width="4.25" bestFit="1" customWidth="1"/>
    <col min="13" max="13" width="23.625" bestFit="1" customWidth="1"/>
    <col min="14" max="14" width="44.75" bestFit="1" customWidth="1"/>
    <col min="15" max="15" width="4.25" bestFit="1" customWidth="1"/>
    <col min="16" max="16" width="23.625" bestFit="1" customWidth="1"/>
  </cols>
  <sheetData>
    <row r="1" spans="1:16">
      <c r="A1" t="s">
        <v>2</v>
      </c>
      <c r="B1" t="s">
        <v>477</v>
      </c>
      <c r="C1" t="s">
        <v>346</v>
      </c>
      <c r="D1" t="s">
        <v>504</v>
      </c>
      <c r="E1" t="s">
        <v>477</v>
      </c>
      <c r="F1" t="s">
        <v>345</v>
      </c>
      <c r="G1" t="s">
        <v>504</v>
      </c>
      <c r="H1" t="s">
        <v>477</v>
      </c>
      <c r="I1" t="s">
        <v>346</v>
      </c>
      <c r="J1" t="s">
        <v>504</v>
      </c>
      <c r="K1" t="s">
        <v>477</v>
      </c>
      <c r="L1" t="s">
        <v>346</v>
      </c>
      <c r="M1" t="s">
        <v>95</v>
      </c>
      <c r="N1" t="s">
        <v>477</v>
      </c>
      <c r="O1" t="s">
        <v>346</v>
      </c>
      <c r="P1" t="s">
        <v>95</v>
      </c>
    </row>
    <row r="2" spans="1:16">
      <c r="A2" t="s">
        <v>8</v>
      </c>
      <c r="B2" t="s">
        <v>443</v>
      </c>
      <c r="C2" t="s">
        <v>346</v>
      </c>
      <c r="D2" t="s">
        <v>504</v>
      </c>
      <c r="E2" t="s">
        <v>443</v>
      </c>
      <c r="F2" t="s">
        <v>346</v>
      </c>
      <c r="G2" t="s">
        <v>127</v>
      </c>
      <c r="H2" t="s">
        <v>443</v>
      </c>
      <c r="I2" t="s">
        <v>346</v>
      </c>
      <c r="J2" t="s">
        <v>127</v>
      </c>
      <c r="K2" t="s">
        <v>443</v>
      </c>
      <c r="L2" t="s">
        <v>346</v>
      </c>
      <c r="M2" t="s">
        <v>496</v>
      </c>
      <c r="N2" t="s">
        <v>443</v>
      </c>
      <c r="O2" t="s">
        <v>346</v>
      </c>
      <c r="P2" t="s">
        <v>496</v>
      </c>
    </row>
    <row r="3" spans="1:16">
      <c r="A3" t="s">
        <v>15</v>
      </c>
      <c r="B3" t="s">
        <v>570</v>
      </c>
      <c r="C3" t="s">
        <v>346</v>
      </c>
      <c r="D3" t="s">
        <v>106</v>
      </c>
      <c r="E3" t="s">
        <v>570</v>
      </c>
      <c r="F3" t="s">
        <v>345</v>
      </c>
      <c r="G3" t="s">
        <v>106</v>
      </c>
      <c r="H3" t="s">
        <v>570</v>
      </c>
      <c r="I3" t="s">
        <v>345</v>
      </c>
      <c r="J3" t="s">
        <v>106</v>
      </c>
      <c r="K3" t="s">
        <v>570</v>
      </c>
      <c r="L3" t="s">
        <v>346</v>
      </c>
      <c r="M3" t="s">
        <v>337</v>
      </c>
      <c r="N3" t="s">
        <v>570</v>
      </c>
      <c r="O3" t="s">
        <v>346</v>
      </c>
      <c r="P3" t="s">
        <v>337</v>
      </c>
    </row>
    <row r="4" spans="1:16">
      <c r="A4" t="s">
        <v>414</v>
      </c>
      <c r="B4" t="s">
        <v>478</v>
      </c>
      <c r="C4" t="s">
        <v>346</v>
      </c>
      <c r="D4" t="s">
        <v>398</v>
      </c>
      <c r="E4" t="s">
        <v>478</v>
      </c>
      <c r="F4" t="s">
        <v>345</v>
      </c>
      <c r="G4" t="s">
        <v>481</v>
      </c>
      <c r="H4" t="s">
        <v>478</v>
      </c>
      <c r="I4" t="s">
        <v>345</v>
      </c>
      <c r="J4" t="s">
        <v>430</v>
      </c>
      <c r="K4" t="s">
        <v>478</v>
      </c>
      <c r="L4" t="s">
        <v>345</v>
      </c>
      <c r="M4" t="s">
        <v>395</v>
      </c>
      <c r="N4" t="s">
        <v>478</v>
      </c>
      <c r="O4" t="s">
        <v>345</v>
      </c>
      <c r="P4" t="s">
        <v>421</v>
      </c>
    </row>
    <row r="5" spans="1:16">
      <c r="A5" t="s">
        <v>591</v>
      </c>
      <c r="B5" t="s">
        <v>651</v>
      </c>
      <c r="C5" t="s">
        <v>345</v>
      </c>
      <c r="D5" t="s">
        <v>633</v>
      </c>
      <c r="E5" t="s">
        <v>652</v>
      </c>
      <c r="F5" t="s">
        <v>345</v>
      </c>
      <c r="G5" t="s">
        <v>611</v>
      </c>
      <c r="H5" t="s">
        <v>652</v>
      </c>
      <c r="I5" t="s">
        <v>345</v>
      </c>
      <c r="J5" t="s">
        <v>587</v>
      </c>
      <c r="K5" t="s">
        <v>652</v>
      </c>
      <c r="L5" t="s">
        <v>345</v>
      </c>
      <c r="M5" t="s">
        <v>581</v>
      </c>
      <c r="N5" t="s">
        <v>652</v>
      </c>
      <c r="O5" t="s">
        <v>346</v>
      </c>
      <c r="P5" t="s">
        <v>616</v>
      </c>
    </row>
    <row r="6" spans="1:16">
      <c r="A6" t="s">
        <v>27</v>
      </c>
      <c r="B6" t="s">
        <v>444</v>
      </c>
      <c r="C6" t="s">
        <v>345</v>
      </c>
      <c r="D6" t="s">
        <v>2</v>
      </c>
      <c r="E6" t="s">
        <v>444</v>
      </c>
      <c r="F6" t="s">
        <v>345</v>
      </c>
      <c r="G6" t="s">
        <v>525</v>
      </c>
      <c r="H6" t="s">
        <v>444</v>
      </c>
      <c r="I6" t="s">
        <v>345</v>
      </c>
      <c r="J6" t="s">
        <v>525</v>
      </c>
      <c r="K6" t="s">
        <v>444</v>
      </c>
      <c r="L6" t="s">
        <v>345</v>
      </c>
      <c r="M6" t="s">
        <v>102</v>
      </c>
      <c r="N6" t="s">
        <v>444</v>
      </c>
      <c r="O6" t="s">
        <v>345</v>
      </c>
      <c r="P6" t="s">
        <v>102</v>
      </c>
    </row>
    <row r="7" spans="1:16">
      <c r="A7" t="s">
        <v>496</v>
      </c>
      <c r="B7" t="s">
        <v>521</v>
      </c>
      <c r="C7" t="s">
        <v>346</v>
      </c>
      <c r="D7" t="s">
        <v>2</v>
      </c>
      <c r="E7" t="s">
        <v>521</v>
      </c>
      <c r="F7" t="s">
        <v>345</v>
      </c>
      <c r="G7" t="s">
        <v>181</v>
      </c>
      <c r="H7" t="s">
        <v>521</v>
      </c>
      <c r="I7" t="s">
        <v>345</v>
      </c>
      <c r="J7" t="s">
        <v>181</v>
      </c>
      <c r="K7" t="s">
        <v>521</v>
      </c>
      <c r="L7" t="s">
        <v>345</v>
      </c>
      <c r="M7" t="s">
        <v>8</v>
      </c>
      <c r="N7" t="s">
        <v>521</v>
      </c>
      <c r="O7" t="s">
        <v>345</v>
      </c>
      <c r="P7" t="s">
        <v>8</v>
      </c>
    </row>
    <row r="8" spans="1:16">
      <c r="A8" t="s">
        <v>34</v>
      </c>
      <c r="B8" t="s">
        <v>494</v>
      </c>
      <c r="C8" t="s">
        <v>345</v>
      </c>
      <c r="D8" t="s">
        <v>211</v>
      </c>
      <c r="E8" t="s">
        <v>479</v>
      </c>
      <c r="F8" t="s">
        <v>346</v>
      </c>
      <c r="G8" t="s">
        <v>198</v>
      </c>
      <c r="H8" t="s">
        <v>479</v>
      </c>
      <c r="I8" t="s">
        <v>345</v>
      </c>
      <c r="J8" t="s">
        <v>222</v>
      </c>
      <c r="K8" t="s">
        <v>479</v>
      </c>
      <c r="L8" t="s">
        <v>345</v>
      </c>
      <c r="M8" t="s">
        <v>347</v>
      </c>
      <c r="N8" t="s">
        <v>479</v>
      </c>
      <c r="O8" t="s">
        <v>345</v>
      </c>
      <c r="P8" t="s">
        <v>140</v>
      </c>
    </row>
    <row r="9" spans="1:16">
      <c r="A9" t="s">
        <v>41</v>
      </c>
      <c r="B9" t="s">
        <v>445</v>
      </c>
      <c r="C9" t="s">
        <v>346</v>
      </c>
      <c r="D9" t="s">
        <v>157</v>
      </c>
      <c r="E9" t="s">
        <v>445</v>
      </c>
      <c r="F9" t="s">
        <v>345</v>
      </c>
      <c r="G9" t="s">
        <v>157</v>
      </c>
      <c r="H9" t="s">
        <v>445</v>
      </c>
      <c r="I9" t="s">
        <v>345</v>
      </c>
      <c r="J9" t="s">
        <v>157</v>
      </c>
      <c r="K9" t="s">
        <v>445</v>
      </c>
      <c r="L9" t="s">
        <v>346</v>
      </c>
      <c r="M9" t="s">
        <v>239</v>
      </c>
      <c r="N9" t="s">
        <v>580</v>
      </c>
      <c r="O9" t="s">
        <v>346</v>
      </c>
      <c r="P9" t="s">
        <v>239</v>
      </c>
    </row>
    <row r="10" spans="1:16">
      <c r="A10" t="s">
        <v>403</v>
      </c>
      <c r="B10" t="s">
        <v>446</v>
      </c>
      <c r="C10" t="s">
        <v>346</v>
      </c>
      <c r="D10" t="s">
        <v>421</v>
      </c>
      <c r="E10" t="s">
        <v>446</v>
      </c>
      <c r="F10" t="s">
        <v>346</v>
      </c>
      <c r="G10" t="s">
        <v>395</v>
      </c>
      <c r="H10" t="s">
        <v>446</v>
      </c>
      <c r="I10" t="s">
        <v>345</v>
      </c>
      <c r="J10" t="s">
        <v>398</v>
      </c>
      <c r="K10" t="s">
        <v>447</v>
      </c>
      <c r="L10" t="s">
        <v>346</v>
      </c>
      <c r="M10" t="s">
        <v>414</v>
      </c>
      <c r="N10" t="s">
        <v>446</v>
      </c>
      <c r="O10" t="s">
        <v>346</v>
      </c>
      <c r="P10" t="s">
        <v>408</v>
      </c>
    </row>
    <row r="11" spans="1:16">
      <c r="A11" t="s">
        <v>622</v>
      </c>
      <c r="B11" t="s">
        <v>640</v>
      </c>
      <c r="C11" t="s">
        <v>346</v>
      </c>
      <c r="D11" t="s">
        <v>604</v>
      </c>
      <c r="E11" t="s">
        <v>640</v>
      </c>
      <c r="F11" t="s">
        <v>346</v>
      </c>
      <c r="G11" t="s">
        <v>581</v>
      </c>
      <c r="H11" t="s">
        <v>640</v>
      </c>
      <c r="I11" t="s">
        <v>346</v>
      </c>
      <c r="J11" t="s">
        <v>597</v>
      </c>
      <c r="K11" t="s">
        <v>640</v>
      </c>
      <c r="L11" t="s">
        <v>346</v>
      </c>
      <c r="M11" t="s">
        <v>628</v>
      </c>
      <c r="N11" t="s">
        <v>640</v>
      </c>
      <c r="O11" t="s">
        <v>346</v>
      </c>
      <c r="P11" t="s">
        <v>633</v>
      </c>
    </row>
    <row r="12" spans="1:16">
      <c r="A12" t="s">
        <v>604</v>
      </c>
      <c r="B12" t="s">
        <v>641</v>
      </c>
      <c r="C12" t="s">
        <v>345</v>
      </c>
      <c r="D12" t="s">
        <v>622</v>
      </c>
      <c r="E12" t="s">
        <v>642</v>
      </c>
      <c r="F12" t="s">
        <v>345</v>
      </c>
      <c r="G12" t="s">
        <v>633</v>
      </c>
      <c r="H12" t="s">
        <v>642</v>
      </c>
      <c r="I12" t="s">
        <v>346</v>
      </c>
      <c r="J12" t="s">
        <v>611</v>
      </c>
      <c r="K12" t="s">
        <v>642</v>
      </c>
      <c r="L12" t="s">
        <v>346</v>
      </c>
      <c r="M12" t="s">
        <v>587</v>
      </c>
      <c r="N12" t="s">
        <v>642</v>
      </c>
      <c r="O12" t="s">
        <v>346</v>
      </c>
      <c r="P12" t="s">
        <v>581</v>
      </c>
    </row>
    <row r="13" spans="1:16">
      <c r="A13" t="s">
        <v>611</v>
      </c>
      <c r="B13" t="s">
        <v>643</v>
      </c>
      <c r="C13" t="s">
        <v>345</v>
      </c>
      <c r="D13" t="s">
        <v>581</v>
      </c>
      <c r="E13" t="s">
        <v>643</v>
      </c>
      <c r="F13" t="s">
        <v>346</v>
      </c>
      <c r="G13" t="s">
        <v>591</v>
      </c>
      <c r="H13" t="s">
        <v>643</v>
      </c>
      <c r="I13" t="s">
        <v>345</v>
      </c>
      <c r="J13" t="s">
        <v>604</v>
      </c>
      <c r="K13" t="s">
        <v>643</v>
      </c>
      <c r="L13" t="s">
        <v>345</v>
      </c>
      <c r="M13" t="s">
        <v>616</v>
      </c>
      <c r="N13" t="s">
        <v>643</v>
      </c>
      <c r="O13" t="s">
        <v>346</v>
      </c>
      <c r="P13" t="s">
        <v>628</v>
      </c>
    </row>
    <row r="14" spans="1:16">
      <c r="A14" t="s">
        <v>597</v>
      </c>
      <c r="B14" t="s">
        <v>644</v>
      </c>
      <c r="C14" t="s">
        <v>346</v>
      </c>
      <c r="D14" t="s">
        <v>628</v>
      </c>
      <c r="E14" t="s">
        <v>645</v>
      </c>
      <c r="F14" t="s">
        <v>345</v>
      </c>
      <c r="G14" t="s">
        <v>616</v>
      </c>
      <c r="H14" t="s">
        <v>645</v>
      </c>
      <c r="I14" t="s">
        <v>345</v>
      </c>
      <c r="J14" t="s">
        <v>622</v>
      </c>
      <c r="K14" t="s">
        <v>644</v>
      </c>
      <c r="L14" t="s">
        <v>345</v>
      </c>
      <c r="M14" t="s">
        <v>633</v>
      </c>
      <c r="N14" t="s">
        <v>644</v>
      </c>
      <c r="O14" t="s">
        <v>346</v>
      </c>
      <c r="P14" t="s">
        <v>587</v>
      </c>
    </row>
    <row r="15" spans="1:16">
      <c r="A15" t="s">
        <v>425</v>
      </c>
      <c r="B15" t="s">
        <v>480</v>
      </c>
      <c r="C15" t="s">
        <v>346</v>
      </c>
      <c r="D15" t="s">
        <v>395</v>
      </c>
      <c r="E15" t="s">
        <v>480</v>
      </c>
      <c r="F15" t="s">
        <v>346</v>
      </c>
      <c r="G15" t="s">
        <v>408</v>
      </c>
      <c r="H15" t="s">
        <v>480</v>
      </c>
      <c r="I15" t="s">
        <v>346</v>
      </c>
      <c r="J15" t="s">
        <v>398</v>
      </c>
      <c r="K15" t="s">
        <v>480</v>
      </c>
      <c r="L15" t="s">
        <v>346</v>
      </c>
      <c r="M15" t="s">
        <v>481</v>
      </c>
      <c r="N15" t="s">
        <v>480</v>
      </c>
      <c r="O15" t="s">
        <v>346</v>
      </c>
      <c r="P15" t="s">
        <v>430</v>
      </c>
    </row>
    <row r="16" spans="1:16">
      <c r="A16" t="s">
        <v>395</v>
      </c>
      <c r="B16" t="s">
        <v>482</v>
      </c>
      <c r="C16" t="s">
        <v>345</v>
      </c>
      <c r="D16" t="s">
        <v>425</v>
      </c>
      <c r="E16" t="s">
        <v>482</v>
      </c>
      <c r="F16" t="s">
        <v>345</v>
      </c>
      <c r="G16" t="s">
        <v>430</v>
      </c>
      <c r="H16" t="s">
        <v>482</v>
      </c>
      <c r="I16" t="s">
        <v>345</v>
      </c>
      <c r="J16" t="s">
        <v>408</v>
      </c>
      <c r="K16" t="s">
        <v>482</v>
      </c>
      <c r="L16" t="s">
        <v>346</v>
      </c>
      <c r="M16" t="s">
        <v>414</v>
      </c>
      <c r="N16" t="s">
        <v>482</v>
      </c>
      <c r="O16" t="s">
        <v>345</v>
      </c>
      <c r="P16" t="s">
        <v>398</v>
      </c>
    </row>
    <row r="17" spans="1:16">
      <c r="A17" t="s">
        <v>54</v>
      </c>
      <c r="B17" t="s">
        <v>483</v>
      </c>
      <c r="C17" t="s">
        <v>345</v>
      </c>
      <c r="D17" t="s">
        <v>84</v>
      </c>
      <c r="E17" t="s">
        <v>483</v>
      </c>
      <c r="F17" t="s">
        <v>345</v>
      </c>
      <c r="G17" t="s">
        <v>84</v>
      </c>
      <c r="H17" t="s">
        <v>483</v>
      </c>
      <c r="I17" t="s">
        <v>345</v>
      </c>
      <c r="J17" t="s">
        <v>152</v>
      </c>
      <c r="K17" t="s">
        <v>483</v>
      </c>
      <c r="L17" t="s">
        <v>346</v>
      </c>
      <c r="M17" t="s">
        <v>152</v>
      </c>
      <c r="N17" t="s">
        <v>483</v>
      </c>
      <c r="O17" t="s">
        <v>345</v>
      </c>
      <c r="P17" t="s">
        <v>152</v>
      </c>
    </row>
    <row r="18" spans="1:16">
      <c r="A18" t="s">
        <v>60</v>
      </c>
      <c r="B18" t="s">
        <v>394</v>
      </c>
      <c r="C18" t="s">
        <v>346</v>
      </c>
      <c r="D18" t="s">
        <v>349</v>
      </c>
      <c r="E18" t="s">
        <v>548</v>
      </c>
      <c r="F18" t="s">
        <v>346</v>
      </c>
      <c r="G18" t="s">
        <v>347</v>
      </c>
      <c r="H18" t="s">
        <v>548</v>
      </c>
      <c r="I18" t="s">
        <v>346</v>
      </c>
      <c r="J18" t="s">
        <v>198</v>
      </c>
      <c r="K18" t="s">
        <v>564</v>
      </c>
      <c r="L18" t="s">
        <v>346</v>
      </c>
      <c r="M18" t="s">
        <v>222</v>
      </c>
      <c r="N18" t="s">
        <v>564</v>
      </c>
      <c r="O18" t="s">
        <v>345</v>
      </c>
      <c r="P18" t="s">
        <v>120</v>
      </c>
    </row>
    <row r="19" spans="1:16">
      <c r="A19" t="s">
        <v>349</v>
      </c>
      <c r="B19" t="s">
        <v>484</v>
      </c>
      <c r="C19" t="s">
        <v>345</v>
      </c>
      <c r="D19" t="s">
        <v>60</v>
      </c>
      <c r="E19" t="s">
        <v>484</v>
      </c>
      <c r="F19" t="s">
        <v>346</v>
      </c>
      <c r="G19" t="s">
        <v>348</v>
      </c>
      <c r="H19" t="s">
        <v>484</v>
      </c>
      <c r="I19" t="s">
        <v>346</v>
      </c>
      <c r="J19" t="s">
        <v>211</v>
      </c>
      <c r="K19" t="s">
        <v>484</v>
      </c>
      <c r="L19" t="s">
        <v>345</v>
      </c>
      <c r="M19" t="s">
        <v>140</v>
      </c>
      <c r="N19" t="s">
        <v>484</v>
      </c>
      <c r="O19" t="s">
        <v>345</v>
      </c>
      <c r="P19" t="s">
        <v>347</v>
      </c>
    </row>
    <row r="20" spans="1:16">
      <c r="A20" t="s">
        <v>408</v>
      </c>
      <c r="B20" t="s">
        <v>485</v>
      </c>
      <c r="C20" t="s">
        <v>346</v>
      </c>
      <c r="D20" t="s">
        <v>421</v>
      </c>
      <c r="E20" t="s">
        <v>485</v>
      </c>
      <c r="F20" t="s">
        <v>345</v>
      </c>
      <c r="G20" t="s">
        <v>425</v>
      </c>
      <c r="H20" t="s">
        <v>566</v>
      </c>
      <c r="I20" t="s">
        <v>346</v>
      </c>
      <c r="J20" t="s">
        <v>395</v>
      </c>
      <c r="K20" t="s">
        <v>485</v>
      </c>
      <c r="L20" t="s">
        <v>346</v>
      </c>
      <c r="M20" t="s">
        <v>398</v>
      </c>
      <c r="N20" t="s">
        <v>485</v>
      </c>
      <c r="O20" t="s">
        <v>345</v>
      </c>
      <c r="P20" t="s">
        <v>481</v>
      </c>
    </row>
    <row r="21" spans="1:16">
      <c r="A21" t="s">
        <v>587</v>
      </c>
      <c r="B21" t="s">
        <v>646</v>
      </c>
      <c r="C21" t="s">
        <v>345</v>
      </c>
      <c r="D21" t="s">
        <v>616</v>
      </c>
      <c r="E21" t="s">
        <v>646</v>
      </c>
      <c r="F21" t="s">
        <v>345</v>
      </c>
      <c r="G21" t="s">
        <v>628</v>
      </c>
      <c r="H21" t="s">
        <v>646</v>
      </c>
      <c r="I21" t="s">
        <v>346</v>
      </c>
      <c r="J21" t="s">
        <v>591</v>
      </c>
      <c r="K21" t="s">
        <v>646</v>
      </c>
      <c r="L21" t="s">
        <v>345</v>
      </c>
      <c r="M21" t="s">
        <v>604</v>
      </c>
      <c r="N21" t="s">
        <v>646</v>
      </c>
      <c r="O21" t="s">
        <v>345</v>
      </c>
      <c r="P21" t="s">
        <v>597</v>
      </c>
    </row>
    <row r="22" spans="1:16">
      <c r="A22" t="s">
        <v>633</v>
      </c>
      <c r="B22" t="s">
        <v>647</v>
      </c>
      <c r="C22" t="s">
        <v>346</v>
      </c>
      <c r="D22" t="s">
        <v>591</v>
      </c>
      <c r="E22" t="s">
        <v>647</v>
      </c>
      <c r="F22" t="s">
        <v>346</v>
      </c>
      <c r="G22" t="s">
        <v>604</v>
      </c>
      <c r="H22" t="s">
        <v>647</v>
      </c>
      <c r="I22" t="s">
        <v>345</v>
      </c>
      <c r="J22" t="s">
        <v>628</v>
      </c>
      <c r="K22" t="s">
        <v>647</v>
      </c>
      <c r="L22" t="s">
        <v>346</v>
      </c>
      <c r="M22" t="s">
        <v>597</v>
      </c>
      <c r="N22" t="s">
        <v>647</v>
      </c>
      <c r="O22" t="s">
        <v>345</v>
      </c>
      <c r="P22" t="s">
        <v>622</v>
      </c>
    </row>
    <row r="23" spans="1:16">
      <c r="A23" t="s">
        <v>449</v>
      </c>
      <c r="B23" t="s">
        <v>474</v>
      </c>
      <c r="C23" t="s">
        <v>345</v>
      </c>
      <c r="D23" t="s">
        <v>559</v>
      </c>
      <c r="E23" t="s">
        <v>474</v>
      </c>
      <c r="F23" t="s">
        <v>345</v>
      </c>
      <c r="G23" t="s">
        <v>571</v>
      </c>
      <c r="H23" t="s">
        <v>474</v>
      </c>
      <c r="I23" t="s">
        <v>345</v>
      </c>
      <c r="J23" t="s">
        <v>571</v>
      </c>
      <c r="K23" t="s">
        <v>474</v>
      </c>
      <c r="L23" t="s">
        <v>345</v>
      </c>
      <c r="M23" t="s">
        <v>572</v>
      </c>
      <c r="N23" t="s">
        <v>474</v>
      </c>
      <c r="O23" t="s">
        <v>345</v>
      </c>
      <c r="P23" t="s">
        <v>572</v>
      </c>
    </row>
    <row r="24" spans="1:16">
      <c r="A24" t="s">
        <v>616</v>
      </c>
      <c r="B24" t="s">
        <v>648</v>
      </c>
      <c r="C24" t="s">
        <v>346</v>
      </c>
      <c r="D24" t="s">
        <v>587</v>
      </c>
      <c r="E24" t="s">
        <v>648</v>
      </c>
      <c r="F24" t="s">
        <v>346</v>
      </c>
      <c r="G24" t="s">
        <v>597</v>
      </c>
      <c r="H24" t="s">
        <v>648</v>
      </c>
      <c r="I24" t="s">
        <v>346</v>
      </c>
      <c r="J24" t="s">
        <v>581</v>
      </c>
      <c r="K24" t="s">
        <v>648</v>
      </c>
      <c r="L24" t="s">
        <v>346</v>
      </c>
      <c r="M24" t="s">
        <v>611</v>
      </c>
      <c r="N24" t="s">
        <v>648</v>
      </c>
      <c r="O24" t="s">
        <v>345</v>
      </c>
      <c r="P24" t="s">
        <v>591</v>
      </c>
    </row>
    <row r="25" spans="1:16">
      <c r="A25" t="s">
        <v>348</v>
      </c>
      <c r="B25" t="s">
        <v>486</v>
      </c>
      <c r="C25" t="s">
        <v>346</v>
      </c>
      <c r="D25" t="s">
        <v>120</v>
      </c>
      <c r="E25" t="s">
        <v>549</v>
      </c>
      <c r="F25" t="s">
        <v>345</v>
      </c>
      <c r="G25" t="s">
        <v>349</v>
      </c>
      <c r="H25" t="s">
        <v>549</v>
      </c>
      <c r="I25" t="s">
        <v>345</v>
      </c>
      <c r="J25" t="s">
        <v>347</v>
      </c>
      <c r="K25" t="s">
        <v>549</v>
      </c>
      <c r="L25" t="s">
        <v>345</v>
      </c>
      <c r="M25" t="s">
        <v>198</v>
      </c>
      <c r="N25" t="s">
        <v>549</v>
      </c>
      <c r="O25" t="s">
        <v>345</v>
      </c>
      <c r="P25" t="s">
        <v>211</v>
      </c>
    </row>
    <row r="26" spans="1:16">
      <c r="A26" t="s">
        <v>628</v>
      </c>
      <c r="B26" t="s">
        <v>654</v>
      </c>
      <c r="C26" t="s">
        <v>345</v>
      </c>
      <c r="D26" t="s">
        <v>597</v>
      </c>
      <c r="E26" t="s">
        <v>654</v>
      </c>
      <c r="F26" t="s">
        <v>346</v>
      </c>
      <c r="G26" t="s">
        <v>587</v>
      </c>
      <c r="H26" t="s">
        <v>654</v>
      </c>
      <c r="I26" t="s">
        <v>346</v>
      </c>
      <c r="J26" t="s">
        <v>633</v>
      </c>
      <c r="K26" t="s">
        <v>654</v>
      </c>
      <c r="L26" t="s">
        <v>345</v>
      </c>
      <c r="M26" t="s">
        <v>622</v>
      </c>
      <c r="N26" t="s">
        <v>654</v>
      </c>
      <c r="O26" t="s">
        <v>345</v>
      </c>
      <c r="P26" t="s">
        <v>611</v>
      </c>
    </row>
    <row r="27" spans="1:16">
      <c r="A27" t="s">
        <v>299</v>
      </c>
      <c r="B27" t="s">
        <v>487</v>
      </c>
      <c r="C27" t="s">
        <v>345</v>
      </c>
      <c r="D27" t="s">
        <v>66</v>
      </c>
      <c r="E27" t="s">
        <v>487</v>
      </c>
      <c r="F27" t="s">
        <v>346</v>
      </c>
      <c r="G27" t="s">
        <v>205</v>
      </c>
      <c r="H27" t="s">
        <v>487</v>
      </c>
      <c r="I27" t="s">
        <v>345</v>
      </c>
      <c r="J27" t="s">
        <v>113</v>
      </c>
      <c r="K27" t="s">
        <v>487</v>
      </c>
      <c r="L27" t="s">
        <v>346</v>
      </c>
      <c r="M27" t="s">
        <v>147</v>
      </c>
      <c r="N27" t="s">
        <v>487</v>
      </c>
      <c r="O27" t="s">
        <v>346</v>
      </c>
      <c r="P27" t="s">
        <v>185</v>
      </c>
    </row>
    <row r="28" spans="1:16">
      <c r="A28" t="s">
        <v>66</v>
      </c>
      <c r="B28" t="s">
        <v>495</v>
      </c>
      <c r="C28" t="s">
        <v>346</v>
      </c>
      <c r="D28" t="s">
        <v>299</v>
      </c>
      <c r="E28" t="s">
        <v>495</v>
      </c>
      <c r="F28" t="s">
        <v>345</v>
      </c>
      <c r="G28" t="s">
        <v>234</v>
      </c>
      <c r="H28" t="s">
        <v>495</v>
      </c>
      <c r="I28" t="s">
        <v>345</v>
      </c>
      <c r="J28" t="s">
        <v>21</v>
      </c>
      <c r="K28" t="s">
        <v>495</v>
      </c>
      <c r="L28" t="s">
        <v>346</v>
      </c>
      <c r="M28" t="s">
        <v>185</v>
      </c>
      <c r="N28" t="s">
        <v>495</v>
      </c>
      <c r="O28" t="s">
        <v>345</v>
      </c>
      <c r="P28" t="s">
        <v>244</v>
      </c>
    </row>
    <row r="29" spans="1:16">
      <c r="A29" t="s">
        <v>78</v>
      </c>
      <c r="B29" t="s">
        <v>563</v>
      </c>
      <c r="C29" t="s">
        <v>346</v>
      </c>
      <c r="D29" t="s">
        <v>216</v>
      </c>
      <c r="E29" t="s">
        <v>667</v>
      </c>
      <c r="F29" t="s">
        <v>346</v>
      </c>
      <c r="G29" t="s">
        <v>216</v>
      </c>
      <c r="H29" t="s">
        <v>668</v>
      </c>
      <c r="I29" t="s">
        <v>345</v>
      </c>
      <c r="J29" t="s">
        <v>157</v>
      </c>
      <c r="K29" t="s">
        <v>668</v>
      </c>
      <c r="L29" t="s">
        <v>346</v>
      </c>
      <c r="M29" t="s">
        <v>157</v>
      </c>
      <c r="N29" t="s">
        <v>668</v>
      </c>
      <c r="O29" t="s">
        <v>346</v>
      </c>
      <c r="P29" t="s">
        <v>157</v>
      </c>
    </row>
    <row r="30" spans="1:16">
      <c r="A30" t="s">
        <v>467</v>
      </c>
      <c r="B30" t="s">
        <v>475</v>
      </c>
      <c r="C30" t="s">
        <v>345</v>
      </c>
      <c r="D30" t="s">
        <v>565</v>
      </c>
      <c r="E30" t="s">
        <v>475</v>
      </c>
      <c r="F30" t="s">
        <v>345</v>
      </c>
      <c r="G30" t="s">
        <v>565</v>
      </c>
      <c r="H30" t="s">
        <v>573</v>
      </c>
      <c r="I30" t="s">
        <v>346</v>
      </c>
      <c r="J30" t="s">
        <v>574</v>
      </c>
      <c r="K30" t="s">
        <v>575</v>
      </c>
      <c r="L30" t="s">
        <v>345</v>
      </c>
      <c r="M30" t="s">
        <v>574</v>
      </c>
      <c r="N30" t="s">
        <v>575</v>
      </c>
      <c r="O30" t="s">
        <v>345</v>
      </c>
      <c r="P30" t="s">
        <v>574</v>
      </c>
    </row>
    <row r="31" spans="1:16">
      <c r="A31" t="s">
        <v>84</v>
      </c>
      <c r="B31" t="s">
        <v>488</v>
      </c>
      <c r="C31" t="s">
        <v>346</v>
      </c>
      <c r="D31" t="s">
        <v>41</v>
      </c>
      <c r="E31" t="s">
        <v>488</v>
      </c>
      <c r="F31" t="s">
        <v>346</v>
      </c>
      <c r="G31" t="s">
        <v>54</v>
      </c>
      <c r="H31" t="s">
        <v>488</v>
      </c>
      <c r="I31" t="s">
        <v>346</v>
      </c>
      <c r="J31" t="s">
        <v>54</v>
      </c>
      <c r="K31" t="s">
        <v>488</v>
      </c>
      <c r="L31" t="s">
        <v>345</v>
      </c>
      <c r="M31" t="s">
        <v>229</v>
      </c>
      <c r="N31" t="s">
        <v>488</v>
      </c>
      <c r="O31" t="s">
        <v>345</v>
      </c>
      <c r="P31" t="s">
        <v>229</v>
      </c>
    </row>
    <row r="32" spans="1:16">
      <c r="A32" t="s">
        <v>525</v>
      </c>
      <c r="B32" t="s">
        <v>350</v>
      </c>
      <c r="C32" t="s">
        <v>345</v>
      </c>
      <c r="D32" t="s">
        <v>95</v>
      </c>
      <c r="E32" t="s">
        <v>350</v>
      </c>
      <c r="F32" t="s">
        <v>346</v>
      </c>
      <c r="G32" t="s">
        <v>95</v>
      </c>
      <c r="H32" t="s">
        <v>350</v>
      </c>
      <c r="I32" t="s">
        <v>345</v>
      </c>
      <c r="J32" t="s">
        <v>95</v>
      </c>
      <c r="K32" t="s">
        <v>350</v>
      </c>
      <c r="L32" t="s">
        <v>346</v>
      </c>
      <c r="M32" t="s">
        <v>27</v>
      </c>
      <c r="N32" t="s">
        <v>350</v>
      </c>
      <c r="O32" t="s">
        <v>346</v>
      </c>
      <c r="P32" t="s">
        <v>27</v>
      </c>
    </row>
    <row r="33" spans="1:16">
      <c r="A33" t="s">
        <v>95</v>
      </c>
      <c r="B33" t="s">
        <v>562</v>
      </c>
      <c r="C33" t="s">
        <v>346</v>
      </c>
      <c r="D33" t="s">
        <v>525</v>
      </c>
      <c r="E33" t="s">
        <v>489</v>
      </c>
      <c r="F33" t="s">
        <v>345</v>
      </c>
      <c r="G33" t="s">
        <v>525</v>
      </c>
      <c r="H33" t="s">
        <v>489</v>
      </c>
      <c r="I33" t="s">
        <v>346</v>
      </c>
      <c r="J33" t="s">
        <v>525</v>
      </c>
      <c r="K33" t="s">
        <v>649</v>
      </c>
      <c r="L33" t="s">
        <v>345</v>
      </c>
      <c r="M33" t="s">
        <v>2</v>
      </c>
      <c r="N33" t="s">
        <v>649</v>
      </c>
      <c r="O33" t="s">
        <v>345</v>
      </c>
      <c r="P33" t="s">
        <v>2</v>
      </c>
    </row>
    <row r="34" spans="1:16">
      <c r="A34" t="s">
        <v>102</v>
      </c>
      <c r="B34" t="s">
        <v>554</v>
      </c>
      <c r="C34" t="s">
        <v>346</v>
      </c>
      <c r="D34" t="s">
        <v>525</v>
      </c>
      <c r="E34" t="s">
        <v>554</v>
      </c>
      <c r="F34" t="s">
        <v>346</v>
      </c>
      <c r="G34" t="s">
        <v>504</v>
      </c>
      <c r="H34" t="s">
        <v>554</v>
      </c>
      <c r="I34" t="s">
        <v>346</v>
      </c>
      <c r="J34" t="s">
        <v>504</v>
      </c>
      <c r="K34" t="s">
        <v>554</v>
      </c>
      <c r="L34" t="s">
        <v>346</v>
      </c>
      <c r="M34" t="s">
        <v>27</v>
      </c>
      <c r="N34" t="s">
        <v>554</v>
      </c>
      <c r="O34" t="s">
        <v>346</v>
      </c>
      <c r="P34" t="s">
        <v>27</v>
      </c>
    </row>
    <row r="35" spans="1:16">
      <c r="A35" t="s">
        <v>106</v>
      </c>
      <c r="B35" t="s">
        <v>497</v>
      </c>
      <c r="C35" t="s">
        <v>346</v>
      </c>
      <c r="D35" t="s">
        <v>337</v>
      </c>
      <c r="E35" t="s">
        <v>497</v>
      </c>
      <c r="F35" t="s">
        <v>346</v>
      </c>
      <c r="G35" t="s">
        <v>337</v>
      </c>
      <c r="H35" t="s">
        <v>497</v>
      </c>
      <c r="I35" t="s">
        <v>345</v>
      </c>
      <c r="J35" t="s">
        <v>15</v>
      </c>
      <c r="K35" t="s">
        <v>497</v>
      </c>
      <c r="L35" t="s">
        <v>346</v>
      </c>
      <c r="M35" t="s">
        <v>15</v>
      </c>
      <c r="N35" t="s">
        <v>497</v>
      </c>
      <c r="O35" t="s">
        <v>346</v>
      </c>
      <c r="P35" t="s">
        <v>15</v>
      </c>
    </row>
    <row r="36" spans="1:16">
      <c r="A36" t="s">
        <v>347</v>
      </c>
      <c r="B36" t="s">
        <v>353</v>
      </c>
      <c r="C36" t="s">
        <v>345</v>
      </c>
      <c r="D36" t="s">
        <v>222</v>
      </c>
      <c r="E36" t="s">
        <v>353</v>
      </c>
      <c r="F36" t="s">
        <v>345</v>
      </c>
      <c r="G36" t="s">
        <v>60</v>
      </c>
      <c r="H36" t="s">
        <v>353</v>
      </c>
      <c r="I36" t="s">
        <v>346</v>
      </c>
      <c r="J36" t="s">
        <v>348</v>
      </c>
      <c r="K36" t="s">
        <v>353</v>
      </c>
      <c r="L36" t="s">
        <v>346</v>
      </c>
      <c r="M36" t="s">
        <v>34</v>
      </c>
      <c r="N36" t="s">
        <v>353</v>
      </c>
      <c r="O36" t="s">
        <v>346</v>
      </c>
      <c r="P36" t="s">
        <v>349</v>
      </c>
    </row>
    <row r="37" spans="1:16">
      <c r="A37" t="s">
        <v>113</v>
      </c>
      <c r="B37" t="s">
        <v>490</v>
      </c>
      <c r="C37" t="s">
        <v>345</v>
      </c>
      <c r="D37" t="s">
        <v>234</v>
      </c>
      <c r="E37" t="s">
        <v>490</v>
      </c>
      <c r="F37" t="s">
        <v>346</v>
      </c>
      <c r="G37" t="s">
        <v>133</v>
      </c>
      <c r="H37" t="s">
        <v>490</v>
      </c>
      <c r="I37" t="s">
        <v>346</v>
      </c>
      <c r="J37" t="s">
        <v>299</v>
      </c>
      <c r="K37" t="s">
        <v>490</v>
      </c>
      <c r="L37" t="s">
        <v>345</v>
      </c>
      <c r="M37" t="s">
        <v>244</v>
      </c>
      <c r="N37" t="s">
        <v>490</v>
      </c>
      <c r="O37" t="s">
        <v>346</v>
      </c>
      <c r="P37" t="s">
        <v>205</v>
      </c>
    </row>
    <row r="38" spans="1:16">
      <c r="A38" t="s">
        <v>120</v>
      </c>
      <c r="B38" t="s">
        <v>354</v>
      </c>
      <c r="C38" t="s">
        <v>345</v>
      </c>
      <c r="D38" t="s">
        <v>348</v>
      </c>
      <c r="E38" t="s">
        <v>354</v>
      </c>
      <c r="F38" t="s">
        <v>346</v>
      </c>
      <c r="G38" t="s">
        <v>222</v>
      </c>
      <c r="H38" t="s">
        <v>354</v>
      </c>
      <c r="I38" t="s">
        <v>345</v>
      </c>
      <c r="J38" t="s">
        <v>140</v>
      </c>
      <c r="K38" t="s">
        <v>354</v>
      </c>
      <c r="L38" t="s">
        <v>345</v>
      </c>
      <c r="M38" t="s">
        <v>211</v>
      </c>
      <c r="N38" t="s">
        <v>354</v>
      </c>
      <c r="O38" t="s">
        <v>346</v>
      </c>
      <c r="P38" t="s">
        <v>60</v>
      </c>
    </row>
    <row r="39" spans="1:16">
      <c r="A39" t="s">
        <v>127</v>
      </c>
      <c r="B39" t="s">
        <v>533</v>
      </c>
      <c r="C39" t="s">
        <v>345</v>
      </c>
      <c r="D39" t="s">
        <v>525</v>
      </c>
      <c r="E39" t="s">
        <v>355</v>
      </c>
      <c r="F39" t="s">
        <v>345</v>
      </c>
      <c r="G39" t="s">
        <v>8</v>
      </c>
      <c r="H39" t="s">
        <v>355</v>
      </c>
      <c r="I39" t="s">
        <v>345</v>
      </c>
      <c r="J39" t="s">
        <v>8</v>
      </c>
      <c r="K39" t="s">
        <v>355</v>
      </c>
      <c r="L39" t="s">
        <v>345</v>
      </c>
      <c r="M39" t="s">
        <v>181</v>
      </c>
      <c r="N39" t="s">
        <v>355</v>
      </c>
      <c r="O39" t="s">
        <v>345</v>
      </c>
      <c r="P39" t="s">
        <v>181</v>
      </c>
    </row>
    <row r="40" spans="1:16">
      <c r="A40" t="s">
        <v>581</v>
      </c>
      <c r="B40" t="s">
        <v>650</v>
      </c>
      <c r="C40" t="s">
        <v>346</v>
      </c>
      <c r="D40" t="s">
        <v>611</v>
      </c>
      <c r="E40" t="s">
        <v>650</v>
      </c>
      <c r="F40" t="s">
        <v>345</v>
      </c>
      <c r="G40" t="s">
        <v>622</v>
      </c>
      <c r="H40" t="s">
        <v>650</v>
      </c>
      <c r="I40" t="s">
        <v>345</v>
      </c>
      <c r="J40" t="s">
        <v>616</v>
      </c>
      <c r="K40" t="s">
        <v>650</v>
      </c>
      <c r="L40" t="s">
        <v>346</v>
      </c>
      <c r="M40" t="s">
        <v>591</v>
      </c>
      <c r="N40" t="s">
        <v>650</v>
      </c>
      <c r="O40" t="s">
        <v>345</v>
      </c>
      <c r="P40" t="s">
        <v>604</v>
      </c>
    </row>
    <row r="41" spans="1:16">
      <c r="A41" t="s">
        <v>21</v>
      </c>
      <c r="B41" t="s">
        <v>506</v>
      </c>
      <c r="C41" t="s">
        <v>346</v>
      </c>
      <c r="D41" t="s">
        <v>185</v>
      </c>
      <c r="E41" t="s">
        <v>351</v>
      </c>
      <c r="F41" t="s">
        <v>346</v>
      </c>
      <c r="G41" t="s">
        <v>147</v>
      </c>
      <c r="H41" t="s">
        <v>351</v>
      </c>
      <c r="I41" t="s">
        <v>346</v>
      </c>
      <c r="J41" t="s">
        <v>66</v>
      </c>
      <c r="K41" t="s">
        <v>351</v>
      </c>
      <c r="L41" t="s">
        <v>346</v>
      </c>
      <c r="M41" t="s">
        <v>205</v>
      </c>
      <c r="N41" t="s">
        <v>351</v>
      </c>
      <c r="O41" t="s">
        <v>346</v>
      </c>
      <c r="P41" t="s">
        <v>133</v>
      </c>
    </row>
    <row r="42" spans="1:16">
      <c r="A42" t="s">
        <v>133</v>
      </c>
      <c r="B42" t="s">
        <v>507</v>
      </c>
      <c r="C42" t="s">
        <v>346</v>
      </c>
      <c r="D42" t="s">
        <v>147</v>
      </c>
      <c r="E42" t="s">
        <v>507</v>
      </c>
      <c r="F42" t="s">
        <v>345</v>
      </c>
      <c r="G42" t="s">
        <v>113</v>
      </c>
      <c r="H42" t="s">
        <v>507</v>
      </c>
      <c r="I42" t="s">
        <v>345</v>
      </c>
      <c r="J42" t="s">
        <v>205</v>
      </c>
      <c r="K42" t="s">
        <v>507</v>
      </c>
      <c r="L42" t="s">
        <v>345</v>
      </c>
      <c r="M42" t="s">
        <v>234</v>
      </c>
      <c r="N42" t="s">
        <v>507</v>
      </c>
      <c r="O42" t="s">
        <v>345</v>
      </c>
      <c r="P42" t="s">
        <v>21</v>
      </c>
    </row>
    <row r="43" spans="1:16">
      <c r="A43" t="s">
        <v>140</v>
      </c>
      <c r="B43" t="s">
        <v>356</v>
      </c>
      <c r="C43" t="s">
        <v>346</v>
      </c>
      <c r="D43" t="s">
        <v>198</v>
      </c>
      <c r="E43" t="s">
        <v>356</v>
      </c>
      <c r="F43" t="s">
        <v>345</v>
      </c>
      <c r="G43" t="s">
        <v>211</v>
      </c>
      <c r="H43" t="s">
        <v>356</v>
      </c>
      <c r="I43" t="s">
        <v>346</v>
      </c>
      <c r="J43" t="s">
        <v>120</v>
      </c>
      <c r="K43" t="s">
        <v>356</v>
      </c>
      <c r="L43" t="s">
        <v>346</v>
      </c>
      <c r="M43" t="s">
        <v>349</v>
      </c>
      <c r="N43" t="s">
        <v>356</v>
      </c>
      <c r="O43" t="s">
        <v>346</v>
      </c>
      <c r="P43" t="s">
        <v>34</v>
      </c>
    </row>
    <row r="44" spans="1:16">
      <c r="A44" t="s">
        <v>147</v>
      </c>
      <c r="B44" t="s">
        <v>491</v>
      </c>
      <c r="C44" t="s">
        <v>345</v>
      </c>
      <c r="D44" t="s">
        <v>133</v>
      </c>
      <c r="E44" t="s">
        <v>491</v>
      </c>
      <c r="F44" t="s">
        <v>345</v>
      </c>
      <c r="G44" t="s">
        <v>21</v>
      </c>
      <c r="H44" t="s">
        <v>491</v>
      </c>
      <c r="I44" t="s">
        <v>345</v>
      </c>
      <c r="J44" t="s">
        <v>244</v>
      </c>
      <c r="K44" t="s">
        <v>491</v>
      </c>
      <c r="L44" t="s">
        <v>345</v>
      </c>
      <c r="M44" t="s">
        <v>299</v>
      </c>
      <c r="N44" t="s">
        <v>491</v>
      </c>
      <c r="O44" t="s">
        <v>346</v>
      </c>
      <c r="P44" t="s">
        <v>234</v>
      </c>
    </row>
    <row r="45" spans="1:16">
      <c r="A45" t="s">
        <v>152</v>
      </c>
      <c r="B45" t="s">
        <v>567</v>
      </c>
      <c r="C45" t="s">
        <v>345</v>
      </c>
      <c r="D45" t="s">
        <v>54</v>
      </c>
      <c r="E45" t="s">
        <v>567</v>
      </c>
      <c r="F45" t="s">
        <v>346</v>
      </c>
      <c r="G45" t="s">
        <v>54</v>
      </c>
      <c r="H45" t="s">
        <v>567</v>
      </c>
      <c r="I45" t="s">
        <v>345</v>
      </c>
      <c r="J45" t="s">
        <v>216</v>
      </c>
      <c r="K45" t="s">
        <v>567</v>
      </c>
      <c r="L45" t="s">
        <v>346</v>
      </c>
      <c r="M45" t="s">
        <v>216</v>
      </c>
      <c r="N45" t="s">
        <v>567</v>
      </c>
      <c r="O45" t="s">
        <v>346</v>
      </c>
      <c r="P45" t="s">
        <v>216</v>
      </c>
    </row>
    <row r="46" spans="1:16">
      <c r="A46" t="s">
        <v>157</v>
      </c>
      <c r="B46" t="s">
        <v>568</v>
      </c>
      <c r="C46" t="s">
        <v>346</v>
      </c>
      <c r="D46" t="s">
        <v>216</v>
      </c>
      <c r="E46" t="s">
        <v>568</v>
      </c>
      <c r="F46" t="s">
        <v>346</v>
      </c>
      <c r="G46" t="s">
        <v>216</v>
      </c>
      <c r="H46" t="s">
        <v>568</v>
      </c>
      <c r="I46" t="s">
        <v>345</v>
      </c>
      <c r="J46" t="s">
        <v>229</v>
      </c>
      <c r="K46" t="s">
        <v>568</v>
      </c>
      <c r="L46" t="s">
        <v>346</v>
      </c>
      <c r="M46" t="s">
        <v>229</v>
      </c>
      <c r="N46" t="s">
        <v>568</v>
      </c>
      <c r="O46" t="s">
        <v>346</v>
      </c>
      <c r="P46" t="s">
        <v>229</v>
      </c>
    </row>
    <row r="47" spans="1:16">
      <c r="A47" t="s">
        <v>168</v>
      </c>
      <c r="B47" t="s">
        <v>357</v>
      </c>
      <c r="C47" t="s">
        <v>345</v>
      </c>
      <c r="D47" t="s">
        <v>152</v>
      </c>
      <c r="E47" t="s">
        <v>357</v>
      </c>
      <c r="F47" t="s">
        <v>346</v>
      </c>
      <c r="G47" t="s">
        <v>152</v>
      </c>
      <c r="H47" t="s">
        <v>357</v>
      </c>
      <c r="I47" t="s">
        <v>345</v>
      </c>
      <c r="J47" t="s">
        <v>152</v>
      </c>
      <c r="K47" t="s">
        <v>357</v>
      </c>
      <c r="L47" t="s">
        <v>345</v>
      </c>
      <c r="M47" t="s">
        <v>229</v>
      </c>
      <c r="N47" t="s">
        <v>357</v>
      </c>
      <c r="O47" t="s">
        <v>345</v>
      </c>
      <c r="P47" t="s">
        <v>229</v>
      </c>
    </row>
    <row r="48" spans="1:16">
      <c r="A48" t="s">
        <v>174</v>
      </c>
      <c r="B48" t="s">
        <v>358</v>
      </c>
      <c r="C48" t="s">
        <v>346</v>
      </c>
      <c r="D48" t="s">
        <v>102</v>
      </c>
      <c r="E48" t="s">
        <v>358</v>
      </c>
      <c r="F48" t="s">
        <v>345</v>
      </c>
      <c r="G48" t="s">
        <v>102</v>
      </c>
      <c r="H48" t="s">
        <v>358</v>
      </c>
      <c r="I48" t="s">
        <v>346</v>
      </c>
      <c r="J48" t="s">
        <v>102</v>
      </c>
      <c r="K48" t="s">
        <v>448</v>
      </c>
      <c r="L48" t="s">
        <v>345</v>
      </c>
      <c r="M48" t="s">
        <v>102</v>
      </c>
      <c r="N48" t="s">
        <v>448</v>
      </c>
      <c r="O48" t="s">
        <v>346</v>
      </c>
      <c r="P48" t="s">
        <v>102</v>
      </c>
    </row>
    <row r="49" spans="1:16">
      <c r="A49" t="s">
        <v>181</v>
      </c>
      <c r="B49" t="s">
        <v>508</v>
      </c>
      <c r="C49" t="s">
        <v>346</v>
      </c>
      <c r="D49" t="s">
        <v>95</v>
      </c>
      <c r="E49" t="s">
        <v>508</v>
      </c>
      <c r="F49" t="s">
        <v>346</v>
      </c>
      <c r="G49" t="s">
        <v>496</v>
      </c>
      <c r="H49" t="s">
        <v>508</v>
      </c>
      <c r="I49" t="s">
        <v>346</v>
      </c>
      <c r="J49" t="s">
        <v>496</v>
      </c>
      <c r="K49" t="s">
        <v>665</v>
      </c>
      <c r="L49" t="s">
        <v>346</v>
      </c>
      <c r="M49" t="s">
        <v>127</v>
      </c>
      <c r="N49" t="s">
        <v>508</v>
      </c>
      <c r="O49" t="s">
        <v>346</v>
      </c>
      <c r="P49" t="s">
        <v>127</v>
      </c>
    </row>
    <row r="50" spans="1:16">
      <c r="A50" t="s">
        <v>421</v>
      </c>
      <c r="B50" t="s">
        <v>436</v>
      </c>
      <c r="C50" t="s">
        <v>345</v>
      </c>
      <c r="D50" t="s">
        <v>408</v>
      </c>
      <c r="E50" t="s">
        <v>436</v>
      </c>
      <c r="F50" t="s">
        <v>346</v>
      </c>
      <c r="G50" t="s">
        <v>398</v>
      </c>
      <c r="H50" t="s">
        <v>436</v>
      </c>
      <c r="I50" t="s">
        <v>346</v>
      </c>
      <c r="J50" t="s">
        <v>481</v>
      </c>
      <c r="K50" t="s">
        <v>436</v>
      </c>
      <c r="L50" t="s">
        <v>346</v>
      </c>
      <c r="M50" t="s">
        <v>430</v>
      </c>
      <c r="N50" t="s">
        <v>436</v>
      </c>
      <c r="O50" t="s">
        <v>346</v>
      </c>
      <c r="P50" t="s">
        <v>414</v>
      </c>
    </row>
    <row r="51" spans="1:16">
      <c r="A51" t="s">
        <v>430</v>
      </c>
      <c r="B51" t="s">
        <v>498</v>
      </c>
      <c r="C51" t="s">
        <v>345</v>
      </c>
      <c r="D51" t="s">
        <v>481</v>
      </c>
      <c r="E51" t="s">
        <v>498</v>
      </c>
      <c r="F51" t="s">
        <v>346</v>
      </c>
      <c r="G51" t="s">
        <v>395</v>
      </c>
      <c r="H51" t="s">
        <v>498</v>
      </c>
      <c r="I51" t="s">
        <v>346</v>
      </c>
      <c r="J51" t="s">
        <v>414</v>
      </c>
      <c r="K51" t="s">
        <v>576</v>
      </c>
      <c r="L51" t="s">
        <v>345</v>
      </c>
      <c r="M51" t="s">
        <v>421</v>
      </c>
      <c r="N51" t="s">
        <v>576</v>
      </c>
      <c r="O51" t="s">
        <v>345</v>
      </c>
      <c r="P51" t="s">
        <v>425</v>
      </c>
    </row>
    <row r="52" spans="1:16">
      <c r="A52" t="s">
        <v>398</v>
      </c>
      <c r="B52" t="s">
        <v>560</v>
      </c>
      <c r="C52" t="s">
        <v>345</v>
      </c>
      <c r="D52" t="s">
        <v>414</v>
      </c>
      <c r="E52" t="s">
        <v>560</v>
      </c>
      <c r="F52" t="s">
        <v>345</v>
      </c>
      <c r="G52" t="s">
        <v>421</v>
      </c>
      <c r="H52" t="s">
        <v>560</v>
      </c>
      <c r="I52" t="s">
        <v>345</v>
      </c>
      <c r="J52" t="s">
        <v>425</v>
      </c>
      <c r="K52" t="s">
        <v>560</v>
      </c>
      <c r="L52" t="s">
        <v>345</v>
      </c>
      <c r="M52" t="s">
        <v>408</v>
      </c>
      <c r="N52" t="s">
        <v>560</v>
      </c>
      <c r="O52" t="s">
        <v>346</v>
      </c>
      <c r="P52" t="s">
        <v>395</v>
      </c>
    </row>
    <row r="53" spans="1:16">
      <c r="A53" t="s">
        <v>229</v>
      </c>
      <c r="B53" t="s">
        <v>555</v>
      </c>
      <c r="C53" t="s">
        <v>346</v>
      </c>
      <c r="D53" t="s">
        <v>84</v>
      </c>
      <c r="E53" t="s">
        <v>577</v>
      </c>
      <c r="F53" t="s">
        <v>346</v>
      </c>
      <c r="G53" t="s">
        <v>84</v>
      </c>
      <c r="H53" t="s">
        <v>577</v>
      </c>
      <c r="I53" t="s">
        <v>346</v>
      </c>
      <c r="J53" t="s">
        <v>157</v>
      </c>
      <c r="K53" t="s">
        <v>577</v>
      </c>
      <c r="L53" t="s">
        <v>345</v>
      </c>
      <c r="M53" t="s">
        <v>157</v>
      </c>
      <c r="N53" t="s">
        <v>577</v>
      </c>
      <c r="O53" t="s">
        <v>345</v>
      </c>
      <c r="P53" t="s">
        <v>157</v>
      </c>
    </row>
    <row r="54" spans="1:16">
      <c r="A54" t="s">
        <v>192</v>
      </c>
      <c r="B54" t="s">
        <v>359</v>
      </c>
      <c r="C54" t="s">
        <v>345</v>
      </c>
      <c r="D54" t="s">
        <v>78</v>
      </c>
      <c r="E54" t="s">
        <v>359</v>
      </c>
      <c r="F54" t="s">
        <v>345</v>
      </c>
      <c r="G54" t="s">
        <v>78</v>
      </c>
      <c r="H54" t="s">
        <v>359</v>
      </c>
      <c r="I54" t="s">
        <v>346</v>
      </c>
      <c r="J54" t="s">
        <v>239</v>
      </c>
      <c r="K54" t="s">
        <v>359</v>
      </c>
      <c r="L54" t="s">
        <v>345</v>
      </c>
      <c r="M54" t="s">
        <v>239</v>
      </c>
      <c r="N54" t="s">
        <v>359</v>
      </c>
      <c r="O54" t="s">
        <v>346</v>
      </c>
      <c r="P54" t="s">
        <v>239</v>
      </c>
    </row>
    <row r="55" spans="1:16">
      <c r="A55" t="s">
        <v>198</v>
      </c>
      <c r="B55" t="s">
        <v>492</v>
      </c>
      <c r="C55" t="s">
        <v>345</v>
      </c>
      <c r="D55" t="s">
        <v>140</v>
      </c>
      <c r="E55" t="s">
        <v>492</v>
      </c>
      <c r="F55" t="s">
        <v>345</v>
      </c>
      <c r="G55" t="s">
        <v>34</v>
      </c>
      <c r="H55" t="s">
        <v>492</v>
      </c>
      <c r="I55" t="s">
        <v>345</v>
      </c>
      <c r="J55" t="s">
        <v>60</v>
      </c>
      <c r="K55" t="s">
        <v>492</v>
      </c>
      <c r="L55" t="s">
        <v>346</v>
      </c>
      <c r="M55" t="s">
        <v>348</v>
      </c>
      <c r="N55" t="s">
        <v>492</v>
      </c>
      <c r="O55" t="s">
        <v>345</v>
      </c>
      <c r="P55" t="s">
        <v>222</v>
      </c>
    </row>
    <row r="56" spans="1:16">
      <c r="A56" t="s">
        <v>205</v>
      </c>
      <c r="B56" t="s">
        <v>499</v>
      </c>
      <c r="C56" t="s">
        <v>345</v>
      </c>
      <c r="D56" t="s">
        <v>244</v>
      </c>
      <c r="E56" t="s">
        <v>556</v>
      </c>
      <c r="F56" t="s">
        <v>345</v>
      </c>
      <c r="G56" t="s">
        <v>299</v>
      </c>
      <c r="H56" t="s">
        <v>556</v>
      </c>
      <c r="I56" t="s">
        <v>346</v>
      </c>
      <c r="J56" t="s">
        <v>133</v>
      </c>
      <c r="K56" t="s">
        <v>556</v>
      </c>
      <c r="L56" t="s">
        <v>345</v>
      </c>
      <c r="M56" t="s">
        <v>21</v>
      </c>
      <c r="N56" t="s">
        <v>556</v>
      </c>
      <c r="O56" t="s">
        <v>345</v>
      </c>
      <c r="P56" t="s">
        <v>113</v>
      </c>
    </row>
    <row r="57" spans="1:16">
      <c r="A57" t="s">
        <v>337</v>
      </c>
      <c r="B57" t="s">
        <v>500</v>
      </c>
      <c r="C57" t="s">
        <v>346</v>
      </c>
      <c r="D57" t="s">
        <v>216</v>
      </c>
      <c r="E57" t="s">
        <v>500</v>
      </c>
      <c r="F57" t="s">
        <v>345</v>
      </c>
      <c r="G57" t="s">
        <v>216</v>
      </c>
      <c r="H57" t="s">
        <v>500</v>
      </c>
      <c r="I57" t="s">
        <v>346</v>
      </c>
      <c r="J57" t="s">
        <v>216</v>
      </c>
      <c r="K57" t="s">
        <v>500</v>
      </c>
      <c r="L57" t="s">
        <v>345</v>
      </c>
      <c r="M57" t="s">
        <v>15</v>
      </c>
      <c r="N57" t="s">
        <v>500</v>
      </c>
      <c r="O57" t="s">
        <v>345</v>
      </c>
      <c r="P57" t="s">
        <v>15</v>
      </c>
    </row>
    <row r="58" spans="1:16">
      <c r="A58" t="s">
        <v>211</v>
      </c>
      <c r="B58" t="s">
        <v>501</v>
      </c>
      <c r="C58" t="s">
        <v>346</v>
      </c>
      <c r="D58" t="s">
        <v>34</v>
      </c>
      <c r="E58" t="s">
        <v>501</v>
      </c>
      <c r="F58" t="s">
        <v>346</v>
      </c>
      <c r="G58" t="s">
        <v>140</v>
      </c>
      <c r="H58" t="s">
        <v>501</v>
      </c>
      <c r="I58" t="s">
        <v>345</v>
      </c>
      <c r="J58" t="s">
        <v>349</v>
      </c>
      <c r="K58" t="s">
        <v>501</v>
      </c>
      <c r="L58" t="s">
        <v>346</v>
      </c>
      <c r="M58" t="s">
        <v>120</v>
      </c>
      <c r="N58" t="s">
        <v>501</v>
      </c>
      <c r="O58" t="s">
        <v>346</v>
      </c>
      <c r="P58" t="s">
        <v>348</v>
      </c>
    </row>
    <row r="59" spans="1:16">
      <c r="A59" t="s">
        <v>216</v>
      </c>
      <c r="B59" t="s">
        <v>509</v>
      </c>
      <c r="C59" t="s">
        <v>345</v>
      </c>
      <c r="D59" t="s">
        <v>157</v>
      </c>
      <c r="E59" t="s">
        <v>509</v>
      </c>
      <c r="F59" t="s">
        <v>345</v>
      </c>
      <c r="G59" t="s">
        <v>157</v>
      </c>
      <c r="H59" t="s">
        <v>509</v>
      </c>
      <c r="I59" t="s">
        <v>346</v>
      </c>
      <c r="J59" t="s">
        <v>152</v>
      </c>
      <c r="K59" t="s">
        <v>509</v>
      </c>
      <c r="L59" t="s">
        <v>345</v>
      </c>
      <c r="M59" t="s">
        <v>152</v>
      </c>
      <c r="N59" t="s">
        <v>509</v>
      </c>
      <c r="O59" t="s">
        <v>345</v>
      </c>
      <c r="P59" t="s">
        <v>152</v>
      </c>
    </row>
    <row r="60" spans="1:16">
      <c r="A60" t="s">
        <v>222</v>
      </c>
      <c r="B60" t="s">
        <v>360</v>
      </c>
      <c r="C60" t="s">
        <v>346</v>
      </c>
      <c r="D60" t="s">
        <v>347</v>
      </c>
      <c r="E60" t="s">
        <v>360</v>
      </c>
      <c r="F60" t="s">
        <v>345</v>
      </c>
      <c r="G60" t="s">
        <v>120</v>
      </c>
      <c r="H60" t="s">
        <v>360</v>
      </c>
      <c r="I60" t="s">
        <v>346</v>
      </c>
      <c r="J60" t="s">
        <v>34</v>
      </c>
      <c r="K60" t="s">
        <v>360</v>
      </c>
      <c r="L60" t="s">
        <v>345</v>
      </c>
      <c r="M60" t="s">
        <v>60</v>
      </c>
      <c r="N60" t="s">
        <v>360</v>
      </c>
      <c r="O60" t="s">
        <v>346</v>
      </c>
      <c r="P60" t="s">
        <v>198</v>
      </c>
    </row>
    <row r="61" spans="1:16">
      <c r="A61" t="s">
        <v>185</v>
      </c>
      <c r="B61" t="s">
        <v>361</v>
      </c>
      <c r="C61" t="s">
        <v>345</v>
      </c>
      <c r="D61" t="s">
        <v>21</v>
      </c>
      <c r="E61" t="s">
        <v>361</v>
      </c>
      <c r="F61" t="s">
        <v>345</v>
      </c>
      <c r="G61" t="s">
        <v>244</v>
      </c>
      <c r="H61" t="s">
        <v>361</v>
      </c>
      <c r="I61" t="s">
        <v>345</v>
      </c>
      <c r="J61" t="s">
        <v>234</v>
      </c>
      <c r="K61" t="s">
        <v>361</v>
      </c>
      <c r="L61" t="s">
        <v>345</v>
      </c>
      <c r="M61" t="s">
        <v>66</v>
      </c>
      <c r="N61" t="s">
        <v>361</v>
      </c>
      <c r="O61" t="s">
        <v>345</v>
      </c>
      <c r="P61" t="s">
        <v>299</v>
      </c>
    </row>
    <row r="62" spans="1:16">
      <c r="A62" t="s">
        <v>234</v>
      </c>
      <c r="B62" t="s">
        <v>362</v>
      </c>
      <c r="C62" t="s">
        <v>346</v>
      </c>
      <c r="D62" t="s">
        <v>113</v>
      </c>
      <c r="E62" t="s">
        <v>557</v>
      </c>
      <c r="F62" t="s">
        <v>346</v>
      </c>
      <c r="G62" t="s">
        <v>66</v>
      </c>
      <c r="H62" t="s">
        <v>557</v>
      </c>
      <c r="I62" t="s">
        <v>346</v>
      </c>
      <c r="J62" t="s">
        <v>185</v>
      </c>
      <c r="K62" t="s">
        <v>362</v>
      </c>
      <c r="L62" t="s">
        <v>346</v>
      </c>
      <c r="M62" t="s">
        <v>133</v>
      </c>
      <c r="N62" t="s">
        <v>362</v>
      </c>
      <c r="O62" t="s">
        <v>345</v>
      </c>
      <c r="P62" t="s">
        <v>147</v>
      </c>
    </row>
    <row r="63" spans="1:16">
      <c r="A63" t="s">
        <v>239</v>
      </c>
      <c r="B63" t="s">
        <v>510</v>
      </c>
      <c r="C63" t="s">
        <v>345</v>
      </c>
      <c r="D63" t="s">
        <v>192</v>
      </c>
      <c r="E63" t="s">
        <v>578</v>
      </c>
      <c r="F63" t="s">
        <v>346</v>
      </c>
      <c r="G63" t="s">
        <v>192</v>
      </c>
      <c r="H63" t="s">
        <v>578</v>
      </c>
      <c r="I63" t="s">
        <v>345</v>
      </c>
      <c r="J63" t="s">
        <v>192</v>
      </c>
      <c r="K63" t="s">
        <v>510</v>
      </c>
      <c r="L63" t="s">
        <v>345</v>
      </c>
      <c r="M63" t="s">
        <v>41</v>
      </c>
      <c r="N63" t="s">
        <v>578</v>
      </c>
      <c r="O63" t="s">
        <v>345</v>
      </c>
      <c r="P63" t="s">
        <v>41</v>
      </c>
    </row>
    <row r="64" spans="1:16">
      <c r="A64" t="s">
        <v>504</v>
      </c>
      <c r="B64" t="s">
        <v>505</v>
      </c>
      <c r="C64" t="s">
        <v>345</v>
      </c>
      <c r="D64" t="s">
        <v>2</v>
      </c>
      <c r="E64" t="s">
        <v>505</v>
      </c>
      <c r="F64" t="s">
        <v>346</v>
      </c>
      <c r="G64" t="s">
        <v>2</v>
      </c>
      <c r="H64" t="s">
        <v>579</v>
      </c>
      <c r="I64" t="s">
        <v>345</v>
      </c>
      <c r="J64" t="s">
        <v>2</v>
      </c>
      <c r="K64" t="s">
        <v>505</v>
      </c>
      <c r="L64" t="s">
        <v>345</v>
      </c>
      <c r="M64" t="s">
        <v>102</v>
      </c>
      <c r="N64" t="s">
        <v>505</v>
      </c>
      <c r="O64" t="s">
        <v>345</v>
      </c>
      <c r="P64" t="s">
        <v>102</v>
      </c>
    </row>
    <row r="65" spans="1:16">
      <c r="A65" t="s">
        <v>244</v>
      </c>
      <c r="B65" t="s">
        <v>493</v>
      </c>
      <c r="C65" t="s">
        <v>346</v>
      </c>
      <c r="D65" t="s">
        <v>205</v>
      </c>
      <c r="E65" t="s">
        <v>493</v>
      </c>
      <c r="F65" t="s">
        <v>346</v>
      </c>
      <c r="G65" t="s">
        <v>185</v>
      </c>
      <c r="H65" t="s">
        <v>493</v>
      </c>
      <c r="I65" t="s">
        <v>346</v>
      </c>
      <c r="J65" t="s">
        <v>147</v>
      </c>
      <c r="K65" t="s">
        <v>493</v>
      </c>
      <c r="L65" t="s">
        <v>346</v>
      </c>
      <c r="M65" t="s">
        <v>113</v>
      </c>
      <c r="N65" t="s">
        <v>493</v>
      </c>
      <c r="O65" t="s">
        <v>346</v>
      </c>
      <c r="P65" t="s">
        <v>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4" t="s">
        <v>290</v>
      </c>
      <c r="C6" s="114" t="s">
        <v>387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0" t="s">
        <v>386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0" t="s">
        <v>386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389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385</v>
      </c>
      <c r="AH15" s="100">
        <f>AVERAGE(AD3:AD12)</f>
        <v>1506.4</v>
      </c>
    </row>
    <row r="16" spans="1:34">
      <c r="A16" s="91" t="s">
        <v>390</v>
      </c>
      <c r="AG16" s="100" t="s">
        <v>384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22"/>
  <sheetViews>
    <sheetView workbookViewId="0"/>
  </sheetViews>
  <sheetFormatPr defaultColWidth="11" defaultRowHeight="15.75"/>
  <cols>
    <col min="1" max="1" width="23.62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4.875" bestFit="1" customWidth="1"/>
    <col min="11" max="11" width="3.875" bestFit="1" customWidth="1"/>
    <col min="12" max="12" width="10.875" bestFit="1" customWidth="1"/>
    <col min="13" max="13" width="4.875" bestFit="1" customWidth="1"/>
    <col min="14" max="14" width="3.875" bestFit="1" customWidth="1"/>
    <col min="15" max="15" width="11.1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1658</v>
      </c>
      <c r="E1">
        <v>368</v>
      </c>
      <c r="F1" t="s">
        <v>208</v>
      </c>
      <c r="G1">
        <v>1577</v>
      </c>
      <c r="H1">
        <v>33</v>
      </c>
      <c r="I1" t="s">
        <v>69</v>
      </c>
      <c r="J1">
        <v>1646</v>
      </c>
      <c r="K1">
        <v>315</v>
      </c>
      <c r="L1" t="s">
        <v>70</v>
      </c>
      <c r="M1">
        <v>1666</v>
      </c>
      <c r="N1">
        <v>159</v>
      </c>
      <c r="O1" t="s">
        <v>71</v>
      </c>
      <c r="P1">
        <v>1663</v>
      </c>
      <c r="Q1">
        <v>410</v>
      </c>
      <c r="AM1"/>
      <c r="AP1"/>
      <c r="AS1"/>
      <c r="AV1"/>
    </row>
    <row r="2" spans="1:48">
      <c r="A2" t="s">
        <v>581</v>
      </c>
      <c r="B2" t="s">
        <v>582</v>
      </c>
      <c r="C2" t="s">
        <v>583</v>
      </c>
      <c r="D2" s="2">
        <v>1452</v>
      </c>
      <c r="E2">
        <v>69</v>
      </c>
      <c r="F2" t="s">
        <v>584</v>
      </c>
      <c r="G2">
        <v>1521</v>
      </c>
      <c r="H2">
        <v>69</v>
      </c>
      <c r="I2" t="s">
        <v>585</v>
      </c>
      <c r="J2">
        <v>1476</v>
      </c>
      <c r="K2">
        <v>35</v>
      </c>
      <c r="L2" t="s">
        <v>586</v>
      </c>
      <c r="M2">
        <v>1515</v>
      </c>
      <c r="N2">
        <v>78</v>
      </c>
      <c r="O2" t="s">
        <v>210</v>
      </c>
      <c r="P2">
        <v>1547</v>
      </c>
      <c r="Q2">
        <v>54</v>
      </c>
      <c r="AM2"/>
      <c r="AP2"/>
      <c r="AS2"/>
      <c r="AV2"/>
    </row>
    <row r="3" spans="1:48">
      <c r="A3" t="s">
        <v>395</v>
      </c>
      <c r="C3" t="s">
        <v>396</v>
      </c>
      <c r="D3" s="2">
        <v>1554</v>
      </c>
      <c r="E3">
        <v>103</v>
      </c>
      <c r="F3" t="s">
        <v>511</v>
      </c>
      <c r="G3">
        <v>1564</v>
      </c>
      <c r="H3">
        <v>155</v>
      </c>
      <c r="I3" t="s">
        <v>397</v>
      </c>
      <c r="J3">
        <v>1528</v>
      </c>
      <c r="K3">
        <v>191</v>
      </c>
      <c r="L3" t="s">
        <v>513</v>
      </c>
      <c r="M3">
        <v>1516</v>
      </c>
      <c r="N3">
        <v>76</v>
      </c>
      <c r="O3" t="s">
        <v>512</v>
      </c>
      <c r="P3">
        <v>1474</v>
      </c>
      <c r="Q3">
        <v>4</v>
      </c>
      <c r="AM3"/>
      <c r="AP3"/>
      <c r="AS3"/>
      <c r="AV3"/>
    </row>
    <row r="4" spans="1:48">
      <c r="A4" t="s">
        <v>95</v>
      </c>
      <c r="B4" t="s">
        <v>96</v>
      </c>
      <c r="C4" t="s">
        <v>97</v>
      </c>
      <c r="D4" s="2">
        <v>1702</v>
      </c>
      <c r="E4">
        <v>133</v>
      </c>
      <c r="F4" t="s">
        <v>98</v>
      </c>
      <c r="G4">
        <v>1709</v>
      </c>
      <c r="H4">
        <v>372</v>
      </c>
      <c r="I4" t="s">
        <v>99</v>
      </c>
      <c r="J4">
        <v>1725</v>
      </c>
      <c r="K4">
        <v>420</v>
      </c>
      <c r="L4" t="s">
        <v>503</v>
      </c>
      <c r="M4">
        <v>1693</v>
      </c>
      <c r="N4">
        <v>45</v>
      </c>
      <c r="O4" t="s">
        <v>101</v>
      </c>
      <c r="P4">
        <v>1717</v>
      </c>
      <c r="Q4">
        <v>287</v>
      </c>
      <c r="AM4"/>
      <c r="AP4"/>
      <c r="AS4"/>
      <c r="AV4"/>
    </row>
    <row r="5" spans="1:48">
      <c r="A5" t="s">
        <v>41</v>
      </c>
      <c r="B5" t="s">
        <v>42</v>
      </c>
      <c r="C5" t="s">
        <v>43</v>
      </c>
      <c r="D5" s="2">
        <v>1552</v>
      </c>
      <c r="E5">
        <v>304</v>
      </c>
      <c r="F5" t="s">
        <v>531</v>
      </c>
      <c r="G5">
        <v>1557</v>
      </c>
      <c r="H5">
        <v>48</v>
      </c>
      <c r="I5" t="s">
        <v>532</v>
      </c>
      <c r="J5">
        <v>1541</v>
      </c>
      <c r="K5">
        <v>49</v>
      </c>
      <c r="L5" t="s">
        <v>46</v>
      </c>
      <c r="M5">
        <v>1553</v>
      </c>
      <c r="N5">
        <v>236</v>
      </c>
      <c r="O5" t="s">
        <v>322</v>
      </c>
      <c r="P5">
        <v>1558</v>
      </c>
      <c r="Q5">
        <v>209</v>
      </c>
      <c r="AM5"/>
      <c r="AP5"/>
      <c r="AS5"/>
      <c r="AV5"/>
    </row>
    <row r="6" spans="1:48">
      <c r="A6" t="s">
        <v>21</v>
      </c>
      <c r="B6" t="s">
        <v>21</v>
      </c>
      <c r="C6" t="s">
        <v>22</v>
      </c>
      <c r="D6" s="2">
        <v>1577</v>
      </c>
      <c r="E6">
        <v>393</v>
      </c>
      <c r="F6" t="s">
        <v>23</v>
      </c>
      <c r="G6">
        <v>1523</v>
      </c>
      <c r="H6">
        <v>283</v>
      </c>
      <c r="I6" t="s">
        <v>24</v>
      </c>
      <c r="J6">
        <v>1577</v>
      </c>
      <c r="K6">
        <v>266</v>
      </c>
      <c r="L6" t="s">
        <v>25</v>
      </c>
      <c r="M6">
        <v>1579</v>
      </c>
      <c r="N6">
        <v>264</v>
      </c>
      <c r="O6" t="s">
        <v>26</v>
      </c>
      <c r="P6">
        <v>1667</v>
      </c>
      <c r="Q6">
        <v>225</v>
      </c>
      <c r="AM6"/>
      <c r="AP6"/>
      <c r="AS6"/>
      <c r="AV6"/>
    </row>
    <row r="7" spans="1:48">
      <c r="A7" t="s">
        <v>587</v>
      </c>
      <c r="B7" t="s">
        <v>588</v>
      </c>
      <c r="C7" t="s">
        <v>655</v>
      </c>
      <c r="D7" s="2">
        <v>1492</v>
      </c>
      <c r="E7">
        <v>55</v>
      </c>
      <c r="F7" t="s">
        <v>589</v>
      </c>
      <c r="G7">
        <v>1567</v>
      </c>
      <c r="H7">
        <v>80</v>
      </c>
      <c r="I7" t="s">
        <v>656</v>
      </c>
      <c r="J7">
        <v>1585</v>
      </c>
      <c r="K7">
        <v>106</v>
      </c>
      <c r="L7" t="s">
        <v>657</v>
      </c>
      <c r="M7">
        <v>1492</v>
      </c>
      <c r="N7">
        <v>55</v>
      </c>
      <c r="O7" t="s">
        <v>590</v>
      </c>
      <c r="P7">
        <v>1492</v>
      </c>
      <c r="Q7">
        <v>55</v>
      </c>
      <c r="AM7"/>
      <c r="AP7"/>
      <c r="AS7"/>
      <c r="AV7"/>
    </row>
    <row r="8" spans="1:48">
      <c r="A8" t="s">
        <v>133</v>
      </c>
      <c r="B8" t="s">
        <v>134</v>
      </c>
      <c r="C8" t="s">
        <v>135</v>
      </c>
      <c r="D8" s="2">
        <v>1592</v>
      </c>
      <c r="E8">
        <v>102</v>
      </c>
      <c r="F8" t="s">
        <v>552</v>
      </c>
      <c r="G8">
        <v>1669</v>
      </c>
      <c r="H8">
        <v>15</v>
      </c>
      <c r="I8" t="s">
        <v>137</v>
      </c>
      <c r="J8">
        <v>1698</v>
      </c>
      <c r="K8">
        <v>304</v>
      </c>
      <c r="L8" t="s">
        <v>138</v>
      </c>
      <c r="M8">
        <v>1726</v>
      </c>
      <c r="N8">
        <v>434</v>
      </c>
      <c r="O8" t="s">
        <v>540</v>
      </c>
      <c r="P8">
        <v>1589</v>
      </c>
      <c r="Q8">
        <v>102</v>
      </c>
      <c r="AM8"/>
      <c r="AP8"/>
      <c r="AS8"/>
      <c r="AV8"/>
    </row>
    <row r="9" spans="1:48">
      <c r="A9" t="s">
        <v>591</v>
      </c>
      <c r="B9" t="s">
        <v>592</v>
      </c>
      <c r="C9" t="s">
        <v>593</v>
      </c>
      <c r="D9" s="2">
        <v>1683</v>
      </c>
      <c r="E9">
        <v>38</v>
      </c>
      <c r="F9" t="s">
        <v>136</v>
      </c>
      <c r="G9">
        <v>1701</v>
      </c>
      <c r="H9">
        <v>403</v>
      </c>
      <c r="I9" t="s">
        <v>594</v>
      </c>
      <c r="J9">
        <v>1513</v>
      </c>
      <c r="K9">
        <v>133</v>
      </c>
      <c r="L9" t="s">
        <v>595</v>
      </c>
      <c r="M9">
        <v>1548</v>
      </c>
      <c r="N9">
        <v>189</v>
      </c>
      <c r="O9" t="s">
        <v>596</v>
      </c>
      <c r="P9">
        <v>1496</v>
      </c>
      <c r="Q9">
        <v>31</v>
      </c>
      <c r="AM9"/>
      <c r="AP9"/>
      <c r="AS9"/>
      <c r="AV9"/>
    </row>
    <row r="10" spans="1:48">
      <c r="A10" t="s">
        <v>234</v>
      </c>
      <c r="B10" t="s">
        <v>306</v>
      </c>
      <c r="C10" t="s">
        <v>323</v>
      </c>
      <c r="D10" s="2">
        <v>1576</v>
      </c>
      <c r="E10">
        <v>132</v>
      </c>
      <c r="F10" t="s">
        <v>235</v>
      </c>
      <c r="G10">
        <v>1566</v>
      </c>
      <c r="H10">
        <v>292</v>
      </c>
      <c r="I10" t="s">
        <v>236</v>
      </c>
      <c r="J10">
        <v>1595</v>
      </c>
      <c r="K10">
        <v>303</v>
      </c>
      <c r="L10" t="s">
        <v>237</v>
      </c>
      <c r="M10">
        <v>1564</v>
      </c>
      <c r="N10">
        <v>324</v>
      </c>
      <c r="O10" t="s">
        <v>238</v>
      </c>
      <c r="P10">
        <v>1563</v>
      </c>
      <c r="Q10">
        <v>224</v>
      </c>
      <c r="AM10"/>
      <c r="AP10"/>
      <c r="AS10"/>
      <c r="AV10"/>
    </row>
    <row r="11" spans="1:48">
      <c r="A11" t="s">
        <v>597</v>
      </c>
      <c r="B11" t="s">
        <v>598</v>
      </c>
      <c r="C11" t="s">
        <v>599</v>
      </c>
      <c r="D11" s="2">
        <v>1477</v>
      </c>
      <c r="E11">
        <v>32</v>
      </c>
      <c r="F11" t="s">
        <v>600</v>
      </c>
      <c r="G11">
        <v>1484</v>
      </c>
      <c r="H11">
        <v>172</v>
      </c>
      <c r="I11" t="s">
        <v>601</v>
      </c>
      <c r="J11">
        <v>1506</v>
      </c>
      <c r="K11">
        <v>34</v>
      </c>
      <c r="L11" t="s">
        <v>602</v>
      </c>
      <c r="M11">
        <v>1480</v>
      </c>
      <c r="N11">
        <v>268</v>
      </c>
      <c r="O11" t="s">
        <v>603</v>
      </c>
      <c r="P11">
        <v>1455</v>
      </c>
      <c r="Q11">
        <v>34</v>
      </c>
      <c r="AM11"/>
      <c r="AP11"/>
      <c r="AS11"/>
      <c r="AV11"/>
    </row>
    <row r="12" spans="1:48">
      <c r="A12" t="s">
        <v>398</v>
      </c>
      <c r="C12" t="s">
        <v>399</v>
      </c>
      <c r="D12" s="2">
        <v>1378</v>
      </c>
      <c r="E12">
        <v>31</v>
      </c>
      <c r="F12" t="s">
        <v>440</v>
      </c>
      <c r="G12">
        <v>1473</v>
      </c>
      <c r="H12">
        <v>206</v>
      </c>
      <c r="I12" t="s">
        <v>400</v>
      </c>
      <c r="J12">
        <v>1458</v>
      </c>
      <c r="K12">
        <v>19</v>
      </c>
      <c r="L12" t="s">
        <v>401</v>
      </c>
      <c r="M12">
        <v>1384</v>
      </c>
      <c r="N12">
        <v>35</v>
      </c>
      <c r="O12" t="s">
        <v>402</v>
      </c>
      <c r="P12">
        <v>1487</v>
      </c>
      <c r="Q12">
        <v>66</v>
      </c>
      <c r="AM12"/>
      <c r="AP12"/>
      <c r="AS12"/>
      <c r="AV12"/>
    </row>
    <row r="13" spans="1:48">
      <c r="A13" t="s">
        <v>152</v>
      </c>
      <c r="B13" t="s">
        <v>153</v>
      </c>
      <c r="C13" t="s">
        <v>324</v>
      </c>
      <c r="D13" s="2">
        <v>1651</v>
      </c>
      <c r="E13">
        <v>176</v>
      </c>
      <c r="F13" t="s">
        <v>154</v>
      </c>
      <c r="G13">
        <v>1672</v>
      </c>
      <c r="H13">
        <v>74</v>
      </c>
      <c r="I13" t="s">
        <v>155</v>
      </c>
      <c r="J13">
        <v>1672</v>
      </c>
      <c r="K13">
        <v>251</v>
      </c>
      <c r="L13" t="s">
        <v>156</v>
      </c>
      <c r="M13">
        <v>1690</v>
      </c>
      <c r="N13">
        <v>116</v>
      </c>
      <c r="O13" t="s">
        <v>325</v>
      </c>
      <c r="P13">
        <v>1673</v>
      </c>
      <c r="Q13">
        <v>429</v>
      </c>
      <c r="AM13"/>
      <c r="AP13"/>
      <c r="AS13"/>
      <c r="AV13"/>
    </row>
    <row r="14" spans="1:48">
      <c r="A14" t="s">
        <v>449</v>
      </c>
      <c r="B14" t="s">
        <v>461</v>
      </c>
      <c r="C14" t="s">
        <v>462</v>
      </c>
      <c r="D14" s="2">
        <v>1699</v>
      </c>
      <c r="E14">
        <v>102</v>
      </c>
      <c r="F14" t="s">
        <v>463</v>
      </c>
      <c r="G14">
        <v>1681</v>
      </c>
      <c r="H14">
        <v>80</v>
      </c>
      <c r="I14" t="s">
        <v>464</v>
      </c>
      <c r="J14">
        <v>1674</v>
      </c>
      <c r="K14">
        <v>86</v>
      </c>
      <c r="L14" t="s">
        <v>465</v>
      </c>
      <c r="M14">
        <v>1688</v>
      </c>
      <c r="N14">
        <v>105</v>
      </c>
      <c r="O14" t="s">
        <v>466</v>
      </c>
      <c r="P14">
        <v>1681</v>
      </c>
      <c r="Q14">
        <v>80</v>
      </c>
      <c r="AM14"/>
      <c r="AP14"/>
      <c r="AS14"/>
      <c r="AV14"/>
    </row>
    <row r="15" spans="1:48">
      <c r="A15" t="s">
        <v>205</v>
      </c>
      <c r="B15" t="s">
        <v>206</v>
      </c>
      <c r="C15" t="s">
        <v>302</v>
      </c>
      <c r="D15" s="2">
        <v>1746</v>
      </c>
      <c r="E15">
        <v>300</v>
      </c>
      <c r="F15" t="s">
        <v>303</v>
      </c>
      <c r="G15">
        <v>1659</v>
      </c>
      <c r="H15">
        <v>219</v>
      </c>
      <c r="I15" t="s">
        <v>541</v>
      </c>
      <c r="J15">
        <v>1540</v>
      </c>
      <c r="K15">
        <v>56</v>
      </c>
      <c r="L15" t="s">
        <v>558</v>
      </c>
      <c r="M15">
        <v>1442</v>
      </c>
      <c r="N15">
        <v>46</v>
      </c>
      <c r="O15" t="s">
        <v>139</v>
      </c>
      <c r="P15">
        <v>1712</v>
      </c>
      <c r="Q15">
        <v>240</v>
      </c>
      <c r="AM15"/>
      <c r="AP15"/>
      <c r="AS15"/>
      <c r="AV15"/>
    </row>
    <row r="16" spans="1:48">
      <c r="A16" t="s">
        <v>604</v>
      </c>
      <c r="B16" t="s">
        <v>605</v>
      </c>
      <c r="C16" t="s">
        <v>606</v>
      </c>
      <c r="D16" s="2">
        <v>1297</v>
      </c>
      <c r="E16">
        <v>49</v>
      </c>
      <c r="F16" t="s">
        <v>607</v>
      </c>
      <c r="G16">
        <v>1422</v>
      </c>
      <c r="H16">
        <v>4</v>
      </c>
      <c r="I16" t="s">
        <v>608</v>
      </c>
      <c r="J16">
        <v>1337</v>
      </c>
      <c r="K16">
        <v>16</v>
      </c>
      <c r="L16" t="s">
        <v>609</v>
      </c>
      <c r="M16">
        <v>1422</v>
      </c>
      <c r="N16">
        <v>4</v>
      </c>
      <c r="O16" t="s">
        <v>610</v>
      </c>
      <c r="P16">
        <v>1409</v>
      </c>
      <c r="Q16">
        <v>7</v>
      </c>
      <c r="AM16"/>
      <c r="AP16"/>
      <c r="AS16"/>
      <c r="AV16"/>
    </row>
    <row r="17" spans="1:48">
      <c r="A17" t="s">
        <v>34</v>
      </c>
      <c r="B17" t="s">
        <v>35</v>
      </c>
      <c r="C17" t="s">
        <v>36</v>
      </c>
      <c r="D17" s="2">
        <v>1598</v>
      </c>
      <c r="E17">
        <v>291</v>
      </c>
      <c r="F17" t="s">
        <v>547</v>
      </c>
      <c r="G17">
        <v>1504</v>
      </c>
      <c r="H17">
        <v>293</v>
      </c>
      <c r="I17" t="s">
        <v>38</v>
      </c>
      <c r="J17">
        <v>1521</v>
      </c>
      <c r="K17">
        <v>210</v>
      </c>
      <c r="L17" t="s">
        <v>39</v>
      </c>
      <c r="M17">
        <v>1587</v>
      </c>
      <c r="N17">
        <v>76</v>
      </c>
      <c r="O17" t="s">
        <v>40</v>
      </c>
      <c r="P17">
        <v>1577</v>
      </c>
      <c r="Q17">
        <v>300</v>
      </c>
      <c r="AM17"/>
      <c r="AP17"/>
      <c r="AS17"/>
      <c r="AV17"/>
    </row>
    <row r="18" spans="1:48">
      <c r="A18" t="s">
        <v>467</v>
      </c>
      <c r="B18" t="s">
        <v>468</v>
      </c>
      <c r="C18" t="s">
        <v>469</v>
      </c>
      <c r="D18" s="2">
        <v>1940</v>
      </c>
      <c r="E18">
        <v>70</v>
      </c>
      <c r="F18" t="s">
        <v>470</v>
      </c>
      <c r="G18">
        <v>1916</v>
      </c>
      <c r="H18">
        <v>89</v>
      </c>
      <c r="I18" t="s">
        <v>471</v>
      </c>
      <c r="J18">
        <v>1902</v>
      </c>
      <c r="K18">
        <v>259</v>
      </c>
      <c r="L18" t="s">
        <v>472</v>
      </c>
      <c r="M18">
        <v>1915</v>
      </c>
      <c r="N18">
        <v>187</v>
      </c>
      <c r="O18" t="s">
        <v>473</v>
      </c>
      <c r="P18">
        <v>1903</v>
      </c>
      <c r="Q18">
        <v>255</v>
      </c>
      <c r="AM18"/>
      <c r="AP18"/>
      <c r="AS18"/>
      <c r="AV18"/>
    </row>
    <row r="19" spans="1:48">
      <c r="A19" t="s">
        <v>299</v>
      </c>
      <c r="B19" t="s">
        <v>300</v>
      </c>
      <c r="C19" t="s">
        <v>207</v>
      </c>
      <c r="D19" s="2">
        <v>1607</v>
      </c>
      <c r="E19">
        <v>201</v>
      </c>
      <c r="F19" t="s">
        <v>63</v>
      </c>
      <c r="G19">
        <v>1538</v>
      </c>
      <c r="H19">
        <v>219</v>
      </c>
      <c r="I19" t="s">
        <v>542</v>
      </c>
      <c r="J19">
        <v>1592</v>
      </c>
      <c r="K19">
        <v>257</v>
      </c>
      <c r="L19" t="s">
        <v>209</v>
      </c>
      <c r="M19">
        <v>1579</v>
      </c>
      <c r="N19">
        <v>409</v>
      </c>
      <c r="O19" t="s">
        <v>543</v>
      </c>
      <c r="P19">
        <v>1611</v>
      </c>
      <c r="Q19">
        <v>42</v>
      </c>
      <c r="AM19"/>
      <c r="AP19"/>
      <c r="AS19"/>
      <c r="AV19"/>
    </row>
    <row r="20" spans="1:48">
      <c r="A20" t="s">
        <v>611</v>
      </c>
      <c r="B20" t="s">
        <v>612</v>
      </c>
      <c r="C20" t="s">
        <v>613</v>
      </c>
      <c r="D20" s="2">
        <v>1514</v>
      </c>
      <c r="E20">
        <v>42</v>
      </c>
      <c r="F20" t="s">
        <v>68</v>
      </c>
      <c r="G20">
        <v>1640</v>
      </c>
      <c r="H20">
        <v>280</v>
      </c>
      <c r="I20" t="s">
        <v>658</v>
      </c>
      <c r="J20">
        <v>1432</v>
      </c>
      <c r="K20">
        <v>60</v>
      </c>
      <c r="L20" t="s">
        <v>614</v>
      </c>
      <c r="M20">
        <v>1514</v>
      </c>
      <c r="N20">
        <v>42</v>
      </c>
      <c r="O20" t="s">
        <v>615</v>
      </c>
      <c r="P20">
        <v>1447</v>
      </c>
      <c r="Q20">
        <v>49</v>
      </c>
      <c r="AM20"/>
      <c r="AP20"/>
      <c r="AS20"/>
      <c r="AV20"/>
    </row>
    <row r="21" spans="1:48">
      <c r="A21" t="s">
        <v>198</v>
      </c>
      <c r="B21" t="s">
        <v>199</v>
      </c>
      <c r="C21" t="s">
        <v>476</v>
      </c>
      <c r="D21" s="2">
        <v>1686</v>
      </c>
      <c r="E21">
        <v>58</v>
      </c>
      <c r="F21" t="s">
        <v>201</v>
      </c>
      <c r="G21">
        <v>1749</v>
      </c>
      <c r="H21">
        <v>161</v>
      </c>
      <c r="I21" t="s">
        <v>202</v>
      </c>
      <c r="J21">
        <v>1746</v>
      </c>
      <c r="K21">
        <v>170</v>
      </c>
      <c r="L21" t="s">
        <v>203</v>
      </c>
      <c r="M21">
        <v>1713</v>
      </c>
      <c r="N21">
        <v>393</v>
      </c>
      <c r="O21" t="s">
        <v>204</v>
      </c>
      <c r="P21">
        <v>1725</v>
      </c>
      <c r="Q21">
        <v>317</v>
      </c>
      <c r="AM21"/>
      <c r="AP21"/>
      <c r="AS21"/>
      <c r="AV21"/>
    </row>
    <row r="22" spans="1:48">
      <c r="A22" t="s">
        <v>84</v>
      </c>
      <c r="B22" t="s">
        <v>85</v>
      </c>
      <c r="C22" t="s">
        <v>326</v>
      </c>
      <c r="D22" s="2">
        <v>1471</v>
      </c>
      <c r="E22">
        <v>196</v>
      </c>
      <c r="F22" t="s">
        <v>534</v>
      </c>
      <c r="G22">
        <v>1480</v>
      </c>
      <c r="H22">
        <v>72</v>
      </c>
      <c r="I22" t="s">
        <v>535</v>
      </c>
      <c r="J22">
        <v>1478</v>
      </c>
      <c r="K22">
        <v>258</v>
      </c>
      <c r="L22" t="s">
        <v>86</v>
      </c>
      <c r="M22">
        <v>1496</v>
      </c>
      <c r="N22">
        <v>150</v>
      </c>
      <c r="O22" t="s">
        <v>87</v>
      </c>
      <c r="P22">
        <v>1496</v>
      </c>
      <c r="Q22">
        <v>119</v>
      </c>
      <c r="AM22"/>
      <c r="AP22"/>
      <c r="AS22"/>
      <c r="AV22"/>
    </row>
    <row r="23" spans="1:48">
      <c r="A23" t="s">
        <v>222</v>
      </c>
      <c r="B23" t="s">
        <v>223</v>
      </c>
      <c r="C23" t="s">
        <v>224</v>
      </c>
      <c r="D23" s="2">
        <v>1626</v>
      </c>
      <c r="E23">
        <v>195</v>
      </c>
      <c r="F23" t="s">
        <v>225</v>
      </c>
      <c r="G23">
        <v>1652</v>
      </c>
      <c r="H23">
        <v>360</v>
      </c>
      <c r="I23" t="s">
        <v>226</v>
      </c>
      <c r="J23">
        <v>1679</v>
      </c>
      <c r="K23">
        <v>258</v>
      </c>
      <c r="L23" t="s">
        <v>227</v>
      </c>
      <c r="M23">
        <v>1608</v>
      </c>
      <c r="N23">
        <v>195</v>
      </c>
      <c r="O23" t="s">
        <v>228</v>
      </c>
      <c r="P23">
        <v>1600</v>
      </c>
      <c r="Q23">
        <v>108</v>
      </c>
      <c r="AM23"/>
      <c r="AP23"/>
      <c r="AS23"/>
      <c r="AV23"/>
    </row>
    <row r="24" spans="1:48">
      <c r="A24" t="s">
        <v>403</v>
      </c>
      <c r="B24" t="s">
        <v>404</v>
      </c>
      <c r="C24" t="s">
        <v>405</v>
      </c>
      <c r="D24" s="2">
        <v>1228</v>
      </c>
      <c r="E24">
        <v>28</v>
      </c>
      <c r="F24" t="s">
        <v>439</v>
      </c>
      <c r="G24">
        <v>1338</v>
      </c>
      <c r="H24">
        <v>18</v>
      </c>
      <c r="I24" t="s">
        <v>406</v>
      </c>
      <c r="J24">
        <v>1368</v>
      </c>
      <c r="K24">
        <v>24</v>
      </c>
      <c r="L24" t="s">
        <v>437</v>
      </c>
      <c r="M24">
        <v>1228</v>
      </c>
      <c r="N24">
        <v>28</v>
      </c>
      <c r="O24" t="s">
        <v>407</v>
      </c>
      <c r="P24">
        <v>1234</v>
      </c>
      <c r="Q24">
        <v>22</v>
      </c>
      <c r="AM24"/>
      <c r="AP24"/>
      <c r="AS24"/>
      <c r="AV24"/>
    </row>
    <row r="25" spans="1:48">
      <c r="A25" t="s">
        <v>504</v>
      </c>
      <c r="B25" t="s">
        <v>504</v>
      </c>
      <c r="C25" t="s">
        <v>163</v>
      </c>
      <c r="D25" s="2">
        <v>1768</v>
      </c>
      <c r="E25">
        <v>417</v>
      </c>
      <c r="F25" t="s">
        <v>164</v>
      </c>
      <c r="G25">
        <v>1790</v>
      </c>
      <c r="H25">
        <v>357</v>
      </c>
      <c r="I25" t="s">
        <v>336</v>
      </c>
      <c r="J25">
        <v>1691</v>
      </c>
      <c r="K25">
        <v>247</v>
      </c>
      <c r="L25" t="s">
        <v>166</v>
      </c>
      <c r="M25">
        <v>1764</v>
      </c>
      <c r="N25">
        <v>284</v>
      </c>
      <c r="O25" t="s">
        <v>167</v>
      </c>
      <c r="P25">
        <v>1762</v>
      </c>
      <c r="Q25">
        <v>314</v>
      </c>
      <c r="AM25"/>
      <c r="AP25"/>
      <c r="AS25"/>
      <c r="AV25"/>
    </row>
    <row r="26" spans="1:48">
      <c r="A26" t="s">
        <v>349</v>
      </c>
      <c r="B26" t="s">
        <v>48</v>
      </c>
      <c r="C26" t="s">
        <v>49</v>
      </c>
      <c r="D26" s="2">
        <v>1473</v>
      </c>
      <c r="E26">
        <v>54</v>
      </c>
      <c r="F26" t="s">
        <v>50</v>
      </c>
      <c r="G26">
        <v>1430</v>
      </c>
      <c r="H26">
        <v>98</v>
      </c>
      <c r="I26" t="s">
        <v>51</v>
      </c>
      <c r="J26">
        <v>1452</v>
      </c>
      <c r="K26">
        <v>200</v>
      </c>
      <c r="L26" t="s">
        <v>52</v>
      </c>
      <c r="M26">
        <v>1437</v>
      </c>
      <c r="N26">
        <v>201</v>
      </c>
      <c r="O26" t="s">
        <v>537</v>
      </c>
      <c r="P26">
        <v>1421</v>
      </c>
      <c r="Q26">
        <v>19</v>
      </c>
      <c r="AM26"/>
      <c r="AP26"/>
      <c r="AS26"/>
      <c r="AV26"/>
    </row>
    <row r="27" spans="1:48">
      <c r="A27" t="s">
        <v>244</v>
      </c>
      <c r="B27" t="s">
        <v>307</v>
      </c>
      <c r="C27" t="s">
        <v>245</v>
      </c>
      <c r="D27" s="2">
        <v>1475</v>
      </c>
      <c r="E27">
        <v>226</v>
      </c>
      <c r="F27" t="s">
        <v>246</v>
      </c>
      <c r="G27">
        <v>1594</v>
      </c>
      <c r="H27">
        <v>164</v>
      </c>
      <c r="I27" t="s">
        <v>544</v>
      </c>
      <c r="J27">
        <v>1539</v>
      </c>
      <c r="K27">
        <v>275</v>
      </c>
      <c r="L27" t="s">
        <v>248</v>
      </c>
      <c r="M27">
        <v>1497</v>
      </c>
      <c r="N27">
        <v>97</v>
      </c>
      <c r="O27" t="s">
        <v>249</v>
      </c>
      <c r="P27">
        <v>1478</v>
      </c>
      <c r="Q27">
        <v>216</v>
      </c>
      <c r="AM27"/>
      <c r="AP27"/>
      <c r="AS27"/>
      <c r="AV27"/>
    </row>
    <row r="28" spans="1:48">
      <c r="A28" t="s">
        <v>616</v>
      </c>
      <c r="B28" t="s">
        <v>617</v>
      </c>
      <c r="C28" t="s">
        <v>329</v>
      </c>
      <c r="D28" s="2">
        <v>1451</v>
      </c>
      <c r="E28">
        <v>186</v>
      </c>
      <c r="F28" t="s">
        <v>618</v>
      </c>
      <c r="G28">
        <v>1246</v>
      </c>
      <c r="H28">
        <v>34</v>
      </c>
      <c r="I28" t="s">
        <v>619</v>
      </c>
      <c r="J28">
        <v>1246</v>
      </c>
      <c r="K28">
        <v>34</v>
      </c>
      <c r="L28" t="s">
        <v>620</v>
      </c>
      <c r="M28">
        <v>1451</v>
      </c>
      <c r="N28">
        <v>141</v>
      </c>
      <c r="O28" t="s">
        <v>621</v>
      </c>
      <c r="P28">
        <v>1393</v>
      </c>
      <c r="Q28">
        <v>88</v>
      </c>
      <c r="AM28"/>
      <c r="AP28"/>
      <c r="AS28"/>
      <c r="AV28"/>
    </row>
    <row r="29" spans="1:48">
      <c r="A29" t="s">
        <v>496</v>
      </c>
      <c r="B29" t="s">
        <v>514</v>
      </c>
      <c r="C29" t="s">
        <v>515</v>
      </c>
      <c r="D29" s="2">
        <v>1763</v>
      </c>
      <c r="E29">
        <v>54</v>
      </c>
      <c r="F29" t="s">
        <v>516</v>
      </c>
      <c r="G29">
        <v>1763</v>
      </c>
      <c r="H29">
        <v>54</v>
      </c>
      <c r="I29" t="s">
        <v>517</v>
      </c>
      <c r="J29">
        <v>1758</v>
      </c>
      <c r="K29">
        <v>36</v>
      </c>
      <c r="L29" t="s">
        <v>518</v>
      </c>
      <c r="M29">
        <v>1763</v>
      </c>
      <c r="N29">
        <v>54</v>
      </c>
      <c r="O29" t="s">
        <v>522</v>
      </c>
      <c r="P29">
        <v>1768</v>
      </c>
      <c r="Q29">
        <v>59</v>
      </c>
      <c r="AM29"/>
      <c r="AP29"/>
      <c r="AS29"/>
      <c r="AV29"/>
    </row>
    <row r="30" spans="1:48">
      <c r="A30" t="s">
        <v>60</v>
      </c>
      <c r="B30" t="s">
        <v>61</v>
      </c>
      <c r="C30" t="s">
        <v>62</v>
      </c>
      <c r="D30" s="2">
        <v>1465</v>
      </c>
      <c r="E30">
        <v>149</v>
      </c>
      <c r="F30" t="s">
        <v>64</v>
      </c>
      <c r="G30">
        <v>1491</v>
      </c>
      <c r="H30">
        <v>54</v>
      </c>
      <c r="I30" t="s">
        <v>669</v>
      </c>
      <c r="J30">
        <v>1483</v>
      </c>
      <c r="K30">
        <v>145</v>
      </c>
      <c r="L30" t="s">
        <v>670</v>
      </c>
      <c r="M30">
        <v>1424</v>
      </c>
      <c r="N30">
        <v>220</v>
      </c>
      <c r="O30" t="s">
        <v>334</v>
      </c>
      <c r="P30">
        <v>1396</v>
      </c>
      <c r="Q30">
        <v>162</v>
      </c>
      <c r="AM30"/>
      <c r="AP30"/>
      <c r="AS30"/>
      <c r="AV30"/>
    </row>
    <row r="31" spans="1:48">
      <c r="A31" t="s">
        <v>408</v>
      </c>
      <c r="C31" t="s">
        <v>409</v>
      </c>
      <c r="D31" s="2">
        <v>1489</v>
      </c>
      <c r="E31">
        <v>50</v>
      </c>
      <c r="F31" t="s">
        <v>410</v>
      </c>
      <c r="G31">
        <v>1489</v>
      </c>
      <c r="H31">
        <v>50</v>
      </c>
      <c r="I31" t="s">
        <v>411</v>
      </c>
      <c r="J31">
        <v>1424</v>
      </c>
      <c r="K31">
        <v>23</v>
      </c>
      <c r="L31" t="s">
        <v>412</v>
      </c>
      <c r="M31">
        <v>1426</v>
      </c>
      <c r="N31">
        <v>45</v>
      </c>
      <c r="O31" t="s">
        <v>413</v>
      </c>
      <c r="P31">
        <v>1496</v>
      </c>
      <c r="Q31">
        <v>49</v>
      </c>
      <c r="AM31"/>
      <c r="AP31"/>
      <c r="AS31"/>
      <c r="AV31"/>
    </row>
    <row r="32" spans="1:48">
      <c r="A32" t="s">
        <v>525</v>
      </c>
      <c r="B32" t="s">
        <v>526</v>
      </c>
      <c r="C32" t="s">
        <v>278</v>
      </c>
      <c r="D32" s="2">
        <v>1644</v>
      </c>
      <c r="E32">
        <v>166</v>
      </c>
      <c r="F32" t="s">
        <v>341</v>
      </c>
      <c r="G32">
        <v>1642</v>
      </c>
      <c r="H32">
        <v>160</v>
      </c>
      <c r="I32" t="s">
        <v>340</v>
      </c>
      <c r="J32">
        <v>1640</v>
      </c>
      <c r="K32">
        <v>114</v>
      </c>
      <c r="L32" t="s">
        <v>279</v>
      </c>
      <c r="M32">
        <v>1644</v>
      </c>
      <c r="N32">
        <v>341</v>
      </c>
      <c r="O32" t="s">
        <v>330</v>
      </c>
      <c r="P32">
        <v>1643</v>
      </c>
      <c r="Q32">
        <v>249</v>
      </c>
      <c r="AM32"/>
      <c r="AP32"/>
      <c r="AS32"/>
      <c r="AV32"/>
    </row>
    <row r="33" spans="1:48">
      <c r="A33" t="s">
        <v>239</v>
      </c>
      <c r="B33" t="s">
        <v>240</v>
      </c>
      <c r="C33" t="s">
        <v>528</v>
      </c>
      <c r="D33" s="2">
        <v>1705</v>
      </c>
      <c r="E33">
        <v>354</v>
      </c>
      <c r="F33" t="s">
        <v>241</v>
      </c>
      <c r="G33">
        <v>1802</v>
      </c>
      <c r="H33">
        <v>147</v>
      </c>
      <c r="I33" t="s">
        <v>335</v>
      </c>
      <c r="J33">
        <v>1799</v>
      </c>
      <c r="K33">
        <v>409</v>
      </c>
      <c r="L33" t="s">
        <v>242</v>
      </c>
      <c r="M33">
        <v>1839</v>
      </c>
      <c r="N33">
        <v>91</v>
      </c>
      <c r="O33" t="s">
        <v>243</v>
      </c>
      <c r="P33">
        <v>1800</v>
      </c>
      <c r="Q33">
        <v>211</v>
      </c>
      <c r="AM33"/>
      <c r="AP33"/>
      <c r="AS33"/>
      <c r="AV33"/>
    </row>
    <row r="34" spans="1:48">
      <c r="A34" t="s">
        <v>168</v>
      </c>
      <c r="B34" t="s">
        <v>169</v>
      </c>
      <c r="C34" t="s">
        <v>170</v>
      </c>
      <c r="D34" s="2">
        <v>1658</v>
      </c>
      <c r="E34">
        <v>89</v>
      </c>
      <c r="F34" t="s">
        <v>171</v>
      </c>
      <c r="G34">
        <v>1663</v>
      </c>
      <c r="H34">
        <v>133</v>
      </c>
      <c r="I34" t="s">
        <v>321</v>
      </c>
      <c r="J34">
        <v>1658</v>
      </c>
      <c r="K34">
        <v>89</v>
      </c>
      <c r="L34" t="s">
        <v>172</v>
      </c>
      <c r="M34">
        <v>1642</v>
      </c>
      <c r="N34">
        <v>170</v>
      </c>
      <c r="O34" t="s">
        <v>173</v>
      </c>
      <c r="P34">
        <v>1656</v>
      </c>
      <c r="Q34">
        <v>125</v>
      </c>
      <c r="AM34"/>
      <c r="AP34"/>
      <c r="AS34"/>
      <c r="AV34"/>
    </row>
    <row r="35" spans="1:48">
      <c r="A35" t="s">
        <v>2</v>
      </c>
      <c r="B35" t="s">
        <v>3</v>
      </c>
      <c r="C35" t="s">
        <v>4</v>
      </c>
      <c r="D35" s="2">
        <v>1539</v>
      </c>
      <c r="E35">
        <v>134</v>
      </c>
      <c r="F35" t="s">
        <v>5</v>
      </c>
      <c r="G35">
        <v>1545</v>
      </c>
      <c r="H35">
        <v>171</v>
      </c>
      <c r="I35" t="s">
        <v>343</v>
      </c>
      <c r="J35">
        <v>1535</v>
      </c>
      <c r="K35">
        <v>80</v>
      </c>
      <c r="L35" t="s">
        <v>6</v>
      </c>
      <c r="M35">
        <v>1536</v>
      </c>
      <c r="N35">
        <v>183</v>
      </c>
      <c r="O35" t="s">
        <v>527</v>
      </c>
      <c r="P35">
        <v>1496</v>
      </c>
      <c r="Q35">
        <v>59</v>
      </c>
      <c r="AM35"/>
      <c r="AP35"/>
      <c r="AS35"/>
      <c r="AV35"/>
    </row>
    <row r="36" spans="1:48">
      <c r="A36" t="s">
        <v>27</v>
      </c>
      <c r="B36" t="s">
        <v>28</v>
      </c>
      <c r="C36" t="s">
        <v>29</v>
      </c>
      <c r="D36" s="2">
        <v>1868</v>
      </c>
      <c r="E36">
        <v>441</v>
      </c>
      <c r="F36" t="s">
        <v>30</v>
      </c>
      <c r="G36">
        <v>1861</v>
      </c>
      <c r="H36">
        <v>426</v>
      </c>
      <c r="I36" t="s">
        <v>519</v>
      </c>
      <c r="J36">
        <v>1852</v>
      </c>
      <c r="K36">
        <v>66</v>
      </c>
      <c r="L36" t="s">
        <v>32</v>
      </c>
      <c r="M36">
        <v>1861</v>
      </c>
      <c r="N36">
        <v>464</v>
      </c>
      <c r="O36" t="s">
        <v>33</v>
      </c>
      <c r="P36">
        <v>1859</v>
      </c>
      <c r="Q36">
        <v>472</v>
      </c>
      <c r="AM36"/>
      <c r="AP36"/>
      <c r="AS36"/>
      <c r="AV36"/>
    </row>
    <row r="37" spans="1:48">
      <c r="A37" t="s">
        <v>127</v>
      </c>
      <c r="B37" t="s">
        <v>366</v>
      </c>
      <c r="C37" t="s">
        <v>128</v>
      </c>
      <c r="D37" s="2">
        <v>1850</v>
      </c>
      <c r="E37">
        <v>164</v>
      </c>
      <c r="F37" t="s">
        <v>129</v>
      </c>
      <c r="G37">
        <v>1897</v>
      </c>
      <c r="H37">
        <v>317</v>
      </c>
      <c r="I37" t="s">
        <v>130</v>
      </c>
      <c r="J37">
        <v>1850</v>
      </c>
      <c r="K37">
        <v>228</v>
      </c>
      <c r="L37" t="s">
        <v>131</v>
      </c>
      <c r="M37">
        <v>1859</v>
      </c>
      <c r="N37">
        <v>458</v>
      </c>
      <c r="O37" t="s">
        <v>132</v>
      </c>
      <c r="P37">
        <v>1859</v>
      </c>
      <c r="Q37">
        <v>454</v>
      </c>
      <c r="AM37"/>
      <c r="AP37"/>
      <c r="AS37"/>
      <c r="AV37"/>
    </row>
    <row r="38" spans="1:48">
      <c r="A38" t="s">
        <v>174</v>
      </c>
      <c r="B38" t="s">
        <v>175</v>
      </c>
      <c r="C38" t="s">
        <v>176</v>
      </c>
      <c r="D38" s="2">
        <v>1372</v>
      </c>
      <c r="E38">
        <v>133</v>
      </c>
      <c r="F38" t="s">
        <v>177</v>
      </c>
      <c r="G38">
        <v>1390</v>
      </c>
      <c r="H38">
        <v>102</v>
      </c>
      <c r="I38" t="s">
        <v>178</v>
      </c>
      <c r="J38">
        <v>1364</v>
      </c>
      <c r="K38">
        <v>183</v>
      </c>
      <c r="L38" t="s">
        <v>179</v>
      </c>
      <c r="M38">
        <v>1364</v>
      </c>
      <c r="N38">
        <v>173</v>
      </c>
      <c r="O38" t="s">
        <v>180</v>
      </c>
      <c r="P38">
        <v>1340</v>
      </c>
      <c r="Q38">
        <v>147</v>
      </c>
      <c r="AM38"/>
      <c r="AP38"/>
      <c r="AS38"/>
      <c r="AV38"/>
    </row>
    <row r="39" spans="1:48">
      <c r="A39" t="s">
        <v>54</v>
      </c>
      <c r="B39" t="s">
        <v>55</v>
      </c>
      <c r="C39" t="s">
        <v>56</v>
      </c>
      <c r="D39" s="2">
        <v>1499</v>
      </c>
      <c r="E39">
        <v>128</v>
      </c>
      <c r="F39" t="s">
        <v>57</v>
      </c>
      <c r="G39">
        <v>1484</v>
      </c>
      <c r="H39">
        <v>225</v>
      </c>
      <c r="I39" t="s">
        <v>320</v>
      </c>
      <c r="J39">
        <v>1488</v>
      </c>
      <c r="K39">
        <v>74</v>
      </c>
      <c r="L39" t="s">
        <v>19</v>
      </c>
      <c r="M39">
        <v>1528</v>
      </c>
      <c r="N39">
        <v>52</v>
      </c>
      <c r="O39" t="s">
        <v>59</v>
      </c>
      <c r="P39">
        <v>1498</v>
      </c>
      <c r="Q39">
        <v>348</v>
      </c>
      <c r="AM39"/>
      <c r="AP39"/>
      <c r="AS39"/>
      <c r="AV39"/>
    </row>
    <row r="40" spans="1:48">
      <c r="A40" t="s">
        <v>102</v>
      </c>
      <c r="B40" t="s">
        <v>102</v>
      </c>
      <c r="C40" t="s">
        <v>103</v>
      </c>
      <c r="D40" s="2">
        <v>1460</v>
      </c>
      <c r="E40">
        <v>239</v>
      </c>
      <c r="F40" t="s">
        <v>502</v>
      </c>
      <c r="G40">
        <v>1462</v>
      </c>
      <c r="H40">
        <v>244</v>
      </c>
      <c r="I40" t="s">
        <v>105</v>
      </c>
      <c r="J40">
        <v>1462</v>
      </c>
      <c r="K40">
        <v>244</v>
      </c>
      <c r="L40" t="s">
        <v>379</v>
      </c>
      <c r="M40">
        <v>1473</v>
      </c>
      <c r="N40">
        <v>255</v>
      </c>
      <c r="O40" t="s">
        <v>550</v>
      </c>
      <c r="P40">
        <v>1461</v>
      </c>
      <c r="Q40">
        <v>8</v>
      </c>
      <c r="AM40"/>
      <c r="AP40"/>
      <c r="AS40"/>
      <c r="AV40"/>
    </row>
    <row r="41" spans="1:48">
      <c r="A41" t="s">
        <v>140</v>
      </c>
      <c r="B41" t="s">
        <v>141</v>
      </c>
      <c r="C41" t="s">
        <v>142</v>
      </c>
      <c r="D41" s="2">
        <v>1597</v>
      </c>
      <c r="E41">
        <v>138</v>
      </c>
      <c r="F41" t="s">
        <v>143</v>
      </c>
      <c r="G41">
        <v>1590</v>
      </c>
      <c r="H41">
        <v>160</v>
      </c>
      <c r="I41" t="s">
        <v>144</v>
      </c>
      <c r="J41">
        <v>1587</v>
      </c>
      <c r="K41">
        <v>183</v>
      </c>
      <c r="L41" t="s">
        <v>145</v>
      </c>
      <c r="M41">
        <v>1597</v>
      </c>
      <c r="N41">
        <v>138</v>
      </c>
      <c r="O41" t="s">
        <v>671</v>
      </c>
      <c r="P41">
        <v>1700</v>
      </c>
      <c r="Q41">
        <v>221</v>
      </c>
      <c r="AM41"/>
      <c r="AP41"/>
      <c r="AS41"/>
      <c r="AV41"/>
    </row>
    <row r="42" spans="1:48">
      <c r="A42" t="s">
        <v>229</v>
      </c>
      <c r="B42" t="s">
        <v>229</v>
      </c>
      <c r="C42" t="s">
        <v>230</v>
      </c>
      <c r="D42" s="2">
        <v>1457</v>
      </c>
      <c r="E42">
        <v>300</v>
      </c>
      <c r="F42" t="s">
        <v>561</v>
      </c>
      <c r="G42">
        <v>1494</v>
      </c>
      <c r="H42">
        <v>141</v>
      </c>
      <c r="I42" t="s">
        <v>231</v>
      </c>
      <c r="J42">
        <v>1453</v>
      </c>
      <c r="K42">
        <v>225</v>
      </c>
      <c r="L42" t="s">
        <v>232</v>
      </c>
      <c r="M42">
        <v>1416</v>
      </c>
      <c r="N42">
        <v>67</v>
      </c>
      <c r="O42" t="s">
        <v>233</v>
      </c>
      <c r="P42">
        <v>1458</v>
      </c>
      <c r="Q42">
        <v>289</v>
      </c>
      <c r="AM42"/>
      <c r="AP42"/>
      <c r="AS42"/>
      <c r="AV42"/>
    </row>
    <row r="43" spans="1:48">
      <c r="A43" t="s">
        <v>622</v>
      </c>
      <c r="B43" t="s">
        <v>623</v>
      </c>
      <c r="C43" t="s">
        <v>659</v>
      </c>
      <c r="D43" s="2">
        <v>1441</v>
      </c>
      <c r="E43">
        <v>51</v>
      </c>
      <c r="F43" t="s">
        <v>624</v>
      </c>
      <c r="G43">
        <v>1364</v>
      </c>
      <c r="H43">
        <v>15</v>
      </c>
      <c r="I43" t="s">
        <v>625</v>
      </c>
      <c r="J43">
        <v>1338</v>
      </c>
      <c r="K43">
        <v>34</v>
      </c>
      <c r="L43" t="s">
        <v>626</v>
      </c>
      <c r="M43">
        <v>1371</v>
      </c>
      <c r="N43">
        <v>24</v>
      </c>
      <c r="O43" t="s">
        <v>627</v>
      </c>
      <c r="P43">
        <v>1416</v>
      </c>
      <c r="Q43">
        <v>195</v>
      </c>
      <c r="AM43"/>
      <c r="AP43"/>
      <c r="AS43"/>
      <c r="AV43"/>
    </row>
    <row r="44" spans="1:48">
      <c r="A44" t="s">
        <v>147</v>
      </c>
      <c r="B44" t="s">
        <v>301</v>
      </c>
      <c r="C44" t="s">
        <v>553</v>
      </c>
      <c r="D44" s="2">
        <v>1508</v>
      </c>
      <c r="E44">
        <v>43</v>
      </c>
      <c r="F44" t="s">
        <v>148</v>
      </c>
      <c r="G44">
        <v>1500</v>
      </c>
      <c r="H44">
        <v>110</v>
      </c>
      <c r="I44" t="s">
        <v>149</v>
      </c>
      <c r="J44">
        <v>1559</v>
      </c>
      <c r="K44">
        <v>274</v>
      </c>
      <c r="L44" t="s">
        <v>150</v>
      </c>
      <c r="M44">
        <v>1547</v>
      </c>
      <c r="N44">
        <v>366</v>
      </c>
      <c r="O44" t="s">
        <v>545</v>
      </c>
      <c r="P44">
        <v>1461</v>
      </c>
      <c r="Q44">
        <v>133</v>
      </c>
      <c r="AM44"/>
      <c r="AS44"/>
      <c r="AV44"/>
    </row>
    <row r="45" spans="1:48">
      <c r="A45" t="s">
        <v>347</v>
      </c>
      <c r="B45" t="s">
        <v>89</v>
      </c>
      <c r="C45" t="s">
        <v>90</v>
      </c>
      <c r="D45" s="2">
        <v>1465</v>
      </c>
      <c r="E45">
        <v>83</v>
      </c>
      <c r="F45" t="s">
        <v>91</v>
      </c>
      <c r="G45">
        <v>1473</v>
      </c>
      <c r="H45">
        <v>125</v>
      </c>
      <c r="I45" t="s">
        <v>92</v>
      </c>
      <c r="J45">
        <v>1429</v>
      </c>
      <c r="K45">
        <v>71</v>
      </c>
      <c r="L45" t="s">
        <v>93</v>
      </c>
      <c r="M45">
        <v>1422</v>
      </c>
      <c r="N45">
        <v>116</v>
      </c>
      <c r="O45" t="s">
        <v>94</v>
      </c>
      <c r="P45">
        <v>1521</v>
      </c>
      <c r="Q45">
        <v>72</v>
      </c>
    </row>
    <row r="46" spans="1:48">
      <c r="A46" t="s">
        <v>192</v>
      </c>
      <c r="B46" t="s">
        <v>193</v>
      </c>
      <c r="C46" t="s">
        <v>194</v>
      </c>
      <c r="D46" s="2">
        <v>1795</v>
      </c>
      <c r="E46">
        <v>236</v>
      </c>
      <c r="F46" t="s">
        <v>195</v>
      </c>
      <c r="G46">
        <v>1727</v>
      </c>
      <c r="H46">
        <v>165</v>
      </c>
      <c r="I46" t="s">
        <v>196</v>
      </c>
      <c r="J46">
        <v>1760</v>
      </c>
      <c r="K46">
        <v>274</v>
      </c>
      <c r="L46" t="s">
        <v>197</v>
      </c>
      <c r="M46">
        <v>1759</v>
      </c>
      <c r="N46">
        <v>315</v>
      </c>
      <c r="O46" t="s">
        <v>331</v>
      </c>
      <c r="P46">
        <v>1783</v>
      </c>
      <c r="Q46">
        <v>88</v>
      </c>
    </row>
    <row r="47" spans="1:48">
      <c r="A47" t="s">
        <v>414</v>
      </c>
      <c r="B47" t="s">
        <v>415</v>
      </c>
      <c r="C47" t="s">
        <v>416</v>
      </c>
      <c r="D47" s="2">
        <v>1685</v>
      </c>
      <c r="E47">
        <v>63</v>
      </c>
      <c r="F47" t="s">
        <v>417</v>
      </c>
      <c r="G47">
        <v>1543</v>
      </c>
      <c r="H47">
        <v>88</v>
      </c>
      <c r="I47" t="s">
        <v>418</v>
      </c>
      <c r="J47">
        <v>1547</v>
      </c>
      <c r="K47">
        <v>90</v>
      </c>
      <c r="L47" t="s">
        <v>419</v>
      </c>
      <c r="M47">
        <v>1564</v>
      </c>
      <c r="N47">
        <v>55</v>
      </c>
      <c r="O47" t="s">
        <v>420</v>
      </c>
      <c r="P47">
        <v>1673</v>
      </c>
      <c r="Q47">
        <v>105</v>
      </c>
    </row>
    <row r="48" spans="1:48">
      <c r="A48" t="s">
        <v>15</v>
      </c>
      <c r="B48" t="s">
        <v>312</v>
      </c>
      <c r="C48" t="s">
        <v>16</v>
      </c>
      <c r="D48" s="2">
        <v>1828</v>
      </c>
      <c r="E48">
        <v>254</v>
      </c>
      <c r="F48" t="s">
        <v>663</v>
      </c>
      <c r="G48">
        <v>1800</v>
      </c>
      <c r="H48">
        <v>370</v>
      </c>
      <c r="I48" t="s">
        <v>18</v>
      </c>
      <c r="J48">
        <v>1821</v>
      </c>
      <c r="K48">
        <v>431</v>
      </c>
      <c r="L48" t="s">
        <v>660</v>
      </c>
      <c r="M48">
        <v>1850</v>
      </c>
      <c r="N48">
        <v>365</v>
      </c>
      <c r="O48" t="s">
        <v>20</v>
      </c>
      <c r="P48">
        <v>1820</v>
      </c>
      <c r="Q48">
        <v>229</v>
      </c>
      <c r="AM48" s="15"/>
    </row>
    <row r="49" spans="1:42">
      <c r="A49" t="s">
        <v>181</v>
      </c>
      <c r="B49" t="s">
        <v>182</v>
      </c>
      <c r="C49" t="s">
        <v>377</v>
      </c>
      <c r="D49" s="2">
        <v>1653</v>
      </c>
      <c r="E49">
        <v>94</v>
      </c>
      <c r="F49" t="s">
        <v>339</v>
      </c>
      <c r="G49">
        <v>1701</v>
      </c>
      <c r="H49">
        <v>227</v>
      </c>
      <c r="I49" t="s">
        <v>523</v>
      </c>
      <c r="J49">
        <v>1501</v>
      </c>
      <c r="K49">
        <v>111</v>
      </c>
      <c r="L49" t="s">
        <v>184</v>
      </c>
      <c r="M49">
        <v>1680</v>
      </c>
      <c r="N49">
        <v>509</v>
      </c>
      <c r="O49" t="s">
        <v>524</v>
      </c>
      <c r="P49">
        <v>1672</v>
      </c>
      <c r="Q49">
        <v>62</v>
      </c>
    </row>
    <row r="50" spans="1:42">
      <c r="A50" t="s">
        <v>337</v>
      </c>
      <c r="B50" t="s">
        <v>72</v>
      </c>
      <c r="C50" t="s">
        <v>73</v>
      </c>
      <c r="D50" s="2">
        <v>1574</v>
      </c>
      <c r="E50">
        <v>123</v>
      </c>
      <c r="F50" t="s">
        <v>392</v>
      </c>
      <c r="G50">
        <v>1588</v>
      </c>
      <c r="H50">
        <v>104</v>
      </c>
      <c r="I50" t="s">
        <v>520</v>
      </c>
      <c r="J50">
        <v>1578</v>
      </c>
      <c r="K50">
        <v>19</v>
      </c>
      <c r="L50" t="s">
        <v>76</v>
      </c>
      <c r="M50">
        <v>1574</v>
      </c>
      <c r="N50">
        <v>256</v>
      </c>
      <c r="O50" t="s">
        <v>77</v>
      </c>
      <c r="P50">
        <v>1577</v>
      </c>
      <c r="Q50">
        <v>120</v>
      </c>
    </row>
    <row r="51" spans="1:42">
      <c r="A51" t="s">
        <v>106</v>
      </c>
      <c r="B51" t="s">
        <v>107</v>
      </c>
      <c r="C51" t="s">
        <v>108</v>
      </c>
      <c r="D51" s="2">
        <v>1552</v>
      </c>
      <c r="E51">
        <v>370</v>
      </c>
      <c r="F51" t="s">
        <v>109</v>
      </c>
      <c r="G51">
        <v>1552</v>
      </c>
      <c r="H51">
        <v>209</v>
      </c>
      <c r="I51" t="s">
        <v>110</v>
      </c>
      <c r="J51">
        <v>1556</v>
      </c>
      <c r="K51">
        <v>84</v>
      </c>
      <c r="L51" t="s">
        <v>529</v>
      </c>
      <c r="M51">
        <v>1487</v>
      </c>
      <c r="N51">
        <v>22</v>
      </c>
      <c r="O51" t="s">
        <v>530</v>
      </c>
      <c r="P51">
        <v>1528</v>
      </c>
      <c r="Q51">
        <v>37</v>
      </c>
    </row>
    <row r="52" spans="1:42">
      <c r="A52" t="s">
        <v>120</v>
      </c>
      <c r="B52" t="s">
        <v>121</v>
      </c>
      <c r="C52" t="s">
        <v>122</v>
      </c>
      <c r="D52" s="2">
        <v>1620</v>
      </c>
      <c r="E52">
        <v>301</v>
      </c>
      <c r="F52" t="s">
        <v>123</v>
      </c>
      <c r="G52">
        <v>1614</v>
      </c>
      <c r="H52">
        <v>145</v>
      </c>
      <c r="I52" t="s">
        <v>124</v>
      </c>
      <c r="J52">
        <v>1575</v>
      </c>
      <c r="K52">
        <v>107</v>
      </c>
      <c r="L52" t="s">
        <v>125</v>
      </c>
      <c r="M52">
        <v>1596</v>
      </c>
      <c r="N52">
        <v>200</v>
      </c>
      <c r="O52" t="s">
        <v>126</v>
      </c>
      <c r="P52">
        <v>1572</v>
      </c>
      <c r="Q52">
        <v>215</v>
      </c>
    </row>
    <row r="53" spans="1:42">
      <c r="A53" t="s">
        <v>421</v>
      </c>
      <c r="C53" t="s">
        <v>441</v>
      </c>
      <c r="D53" s="2">
        <v>1702</v>
      </c>
      <c r="E53">
        <v>100</v>
      </c>
      <c r="F53" t="s">
        <v>422</v>
      </c>
      <c r="G53">
        <v>1695</v>
      </c>
      <c r="H53">
        <v>106</v>
      </c>
      <c r="I53" t="s">
        <v>423</v>
      </c>
      <c r="J53">
        <v>1680</v>
      </c>
      <c r="K53">
        <v>272</v>
      </c>
      <c r="L53" t="s">
        <v>424</v>
      </c>
      <c r="M53">
        <v>1692</v>
      </c>
      <c r="N53">
        <v>107</v>
      </c>
      <c r="O53" t="s">
        <v>442</v>
      </c>
      <c r="P53">
        <v>1695</v>
      </c>
      <c r="Q53">
        <v>314</v>
      </c>
    </row>
    <row r="54" spans="1:42">
      <c r="A54" t="s">
        <v>628</v>
      </c>
      <c r="B54" t="s">
        <v>629</v>
      </c>
      <c r="C54" t="s">
        <v>630</v>
      </c>
      <c r="D54" s="2">
        <v>1433</v>
      </c>
      <c r="E54">
        <v>19</v>
      </c>
      <c r="F54" t="s">
        <v>116</v>
      </c>
      <c r="G54">
        <v>1541</v>
      </c>
      <c r="H54">
        <v>95</v>
      </c>
      <c r="I54" t="s">
        <v>631</v>
      </c>
      <c r="J54">
        <v>1440</v>
      </c>
      <c r="K54">
        <v>34</v>
      </c>
      <c r="L54" t="s">
        <v>653</v>
      </c>
      <c r="M54">
        <v>1432</v>
      </c>
      <c r="N54">
        <v>232</v>
      </c>
      <c r="O54" t="s">
        <v>632</v>
      </c>
      <c r="P54">
        <v>1406</v>
      </c>
      <c r="Q54">
        <v>57</v>
      </c>
    </row>
    <row r="55" spans="1:42">
      <c r="A55" t="s">
        <v>425</v>
      </c>
      <c r="C55" t="s">
        <v>438</v>
      </c>
      <c r="D55" s="2">
        <v>1486</v>
      </c>
      <c r="E55">
        <v>65</v>
      </c>
      <c r="F55" t="s">
        <v>426</v>
      </c>
      <c r="G55">
        <v>1385</v>
      </c>
      <c r="H55">
        <v>156</v>
      </c>
      <c r="I55" t="s">
        <v>427</v>
      </c>
      <c r="J55">
        <v>1410</v>
      </c>
      <c r="K55">
        <v>107</v>
      </c>
      <c r="L55" t="s">
        <v>428</v>
      </c>
      <c r="M55">
        <v>1401</v>
      </c>
      <c r="N55">
        <v>112</v>
      </c>
      <c r="O55" t="s">
        <v>429</v>
      </c>
      <c r="P55">
        <v>1444</v>
      </c>
      <c r="Q55">
        <v>16</v>
      </c>
      <c r="AP55" s="17"/>
    </row>
    <row r="56" spans="1:42">
      <c r="A56" t="s">
        <v>185</v>
      </c>
      <c r="B56" t="s">
        <v>186</v>
      </c>
      <c r="C56" t="s">
        <v>187</v>
      </c>
      <c r="D56" s="2">
        <v>1764</v>
      </c>
      <c r="E56">
        <v>341</v>
      </c>
      <c r="F56" t="s">
        <v>188</v>
      </c>
      <c r="G56">
        <v>1744</v>
      </c>
      <c r="H56">
        <v>378</v>
      </c>
      <c r="I56" t="s">
        <v>189</v>
      </c>
      <c r="J56">
        <v>1744</v>
      </c>
      <c r="K56">
        <v>357</v>
      </c>
      <c r="L56" t="s">
        <v>190</v>
      </c>
      <c r="M56">
        <v>1777</v>
      </c>
      <c r="N56">
        <v>375</v>
      </c>
      <c r="O56" t="s">
        <v>191</v>
      </c>
      <c r="P56">
        <v>1738</v>
      </c>
      <c r="Q56">
        <v>205</v>
      </c>
      <c r="AP56" s="17"/>
    </row>
    <row r="57" spans="1:42">
      <c r="A57" t="s">
        <v>633</v>
      </c>
      <c r="B57" t="s">
        <v>634</v>
      </c>
      <c r="C57" t="s">
        <v>635</v>
      </c>
      <c r="D57" s="2">
        <v>1515</v>
      </c>
      <c r="E57">
        <v>38</v>
      </c>
      <c r="F57" t="s">
        <v>636</v>
      </c>
      <c r="G57">
        <v>1460</v>
      </c>
      <c r="H57">
        <v>96</v>
      </c>
      <c r="I57" t="s">
        <v>637</v>
      </c>
      <c r="J57">
        <v>1493</v>
      </c>
      <c r="K57">
        <v>15</v>
      </c>
      <c r="L57" t="s">
        <v>638</v>
      </c>
      <c r="M57">
        <v>1515</v>
      </c>
      <c r="N57">
        <v>38</v>
      </c>
      <c r="O57" t="s">
        <v>639</v>
      </c>
      <c r="P57">
        <v>1529</v>
      </c>
      <c r="Q57">
        <v>41</v>
      </c>
      <c r="AP57" s="17"/>
    </row>
    <row r="58" spans="1:42">
      <c r="A58" t="s">
        <v>113</v>
      </c>
      <c r="B58" t="s">
        <v>114</v>
      </c>
      <c r="C58" t="s">
        <v>115</v>
      </c>
      <c r="D58" s="2">
        <v>1705</v>
      </c>
      <c r="E58">
        <v>323</v>
      </c>
      <c r="F58" t="s">
        <v>546</v>
      </c>
      <c r="G58">
        <v>1415</v>
      </c>
      <c r="H58">
        <v>56</v>
      </c>
      <c r="I58" t="s">
        <v>117</v>
      </c>
      <c r="J58">
        <v>1705</v>
      </c>
      <c r="K58">
        <v>434</v>
      </c>
      <c r="L58" t="s">
        <v>118</v>
      </c>
      <c r="M58">
        <v>1663</v>
      </c>
      <c r="N58">
        <v>301</v>
      </c>
      <c r="O58" t="s">
        <v>119</v>
      </c>
      <c r="P58">
        <v>1663</v>
      </c>
      <c r="Q58">
        <v>309</v>
      </c>
      <c r="AP58" s="17"/>
    </row>
    <row r="59" spans="1:42">
      <c r="A59" t="s">
        <v>157</v>
      </c>
      <c r="B59" t="s">
        <v>158</v>
      </c>
      <c r="C59">
        <v>957</v>
      </c>
      <c r="D59" s="2">
        <v>1521</v>
      </c>
      <c r="E59">
        <v>349</v>
      </c>
      <c r="F59" t="s">
        <v>391</v>
      </c>
      <c r="G59">
        <v>1579</v>
      </c>
      <c r="H59">
        <v>368</v>
      </c>
      <c r="I59" t="s">
        <v>159</v>
      </c>
      <c r="J59">
        <v>1521</v>
      </c>
      <c r="K59">
        <v>421</v>
      </c>
      <c r="L59" t="s">
        <v>160</v>
      </c>
      <c r="M59">
        <v>1574</v>
      </c>
      <c r="N59">
        <v>409</v>
      </c>
      <c r="O59" t="s">
        <v>569</v>
      </c>
      <c r="P59">
        <v>1403</v>
      </c>
      <c r="Q59">
        <v>24</v>
      </c>
      <c r="AP59" s="17"/>
    </row>
    <row r="60" spans="1:42">
      <c r="A60" t="s">
        <v>216</v>
      </c>
      <c r="B60" t="s">
        <v>217</v>
      </c>
      <c r="C60" t="s">
        <v>344</v>
      </c>
      <c r="D60" s="2">
        <v>1550</v>
      </c>
      <c r="E60">
        <v>34</v>
      </c>
      <c r="F60" t="s">
        <v>551</v>
      </c>
      <c r="G60">
        <v>1523</v>
      </c>
      <c r="H60">
        <v>57</v>
      </c>
      <c r="I60" t="s">
        <v>393</v>
      </c>
      <c r="J60">
        <v>1496</v>
      </c>
      <c r="K60">
        <v>160</v>
      </c>
      <c r="L60" t="s">
        <v>220</v>
      </c>
      <c r="M60">
        <v>1489</v>
      </c>
      <c r="N60">
        <v>115</v>
      </c>
      <c r="O60" t="s">
        <v>221</v>
      </c>
      <c r="P60">
        <v>1486</v>
      </c>
      <c r="Q60">
        <v>94</v>
      </c>
      <c r="AP60" s="17"/>
    </row>
    <row r="61" spans="1:42">
      <c r="A61" t="s">
        <v>211</v>
      </c>
      <c r="B61" t="s">
        <v>282</v>
      </c>
      <c r="C61" t="s">
        <v>212</v>
      </c>
      <c r="D61" s="2">
        <v>1421</v>
      </c>
      <c r="E61">
        <v>45</v>
      </c>
      <c r="F61" t="s">
        <v>333</v>
      </c>
      <c r="G61">
        <v>1492</v>
      </c>
      <c r="H61">
        <v>204</v>
      </c>
      <c r="I61" t="s">
        <v>213</v>
      </c>
      <c r="J61">
        <v>1514</v>
      </c>
      <c r="K61">
        <v>197</v>
      </c>
      <c r="L61" t="s">
        <v>214</v>
      </c>
      <c r="M61">
        <v>1552</v>
      </c>
      <c r="N61">
        <v>120</v>
      </c>
      <c r="O61" t="s">
        <v>215</v>
      </c>
      <c r="P61">
        <v>1431</v>
      </c>
      <c r="Q61">
        <v>153</v>
      </c>
      <c r="AP61" s="17"/>
    </row>
    <row r="62" spans="1:42">
      <c r="A62" t="s">
        <v>78</v>
      </c>
      <c r="B62" t="s">
        <v>79</v>
      </c>
      <c r="C62" t="s">
        <v>666</v>
      </c>
      <c r="D62" s="2">
        <v>1349</v>
      </c>
      <c r="E62">
        <v>36</v>
      </c>
      <c r="F62" t="s">
        <v>536</v>
      </c>
      <c r="G62">
        <v>1407</v>
      </c>
      <c r="H62">
        <v>307</v>
      </c>
      <c r="I62" t="s">
        <v>661</v>
      </c>
      <c r="J62">
        <v>1517</v>
      </c>
      <c r="K62">
        <v>247</v>
      </c>
      <c r="L62" t="s">
        <v>664</v>
      </c>
      <c r="M62">
        <v>1329</v>
      </c>
      <c r="N62">
        <v>43</v>
      </c>
      <c r="O62" t="s">
        <v>662</v>
      </c>
      <c r="P62">
        <v>1438</v>
      </c>
      <c r="Q62">
        <v>3</v>
      </c>
    </row>
    <row r="63" spans="1:42">
      <c r="A63" t="s">
        <v>348</v>
      </c>
      <c r="B63" t="s">
        <v>285</v>
      </c>
      <c r="C63" t="s">
        <v>286</v>
      </c>
      <c r="D63" s="2">
        <v>1558</v>
      </c>
      <c r="E63">
        <v>217</v>
      </c>
      <c r="F63" t="s">
        <v>539</v>
      </c>
      <c r="G63">
        <v>1503</v>
      </c>
      <c r="H63">
        <v>189</v>
      </c>
      <c r="I63" t="s">
        <v>288</v>
      </c>
      <c r="J63">
        <v>1612</v>
      </c>
      <c r="K63">
        <v>68</v>
      </c>
      <c r="L63" t="s">
        <v>538</v>
      </c>
      <c r="M63">
        <v>1612</v>
      </c>
      <c r="N63">
        <v>68</v>
      </c>
      <c r="O63" t="s">
        <v>332</v>
      </c>
      <c r="P63">
        <v>1611</v>
      </c>
      <c r="Q63">
        <v>66</v>
      </c>
    </row>
    <row r="64" spans="1:42">
      <c r="A64" t="s">
        <v>430</v>
      </c>
      <c r="C64" t="s">
        <v>431</v>
      </c>
      <c r="D64" s="2">
        <v>1482</v>
      </c>
      <c r="E64">
        <v>86</v>
      </c>
      <c r="F64" t="s">
        <v>432</v>
      </c>
      <c r="G64">
        <v>1467</v>
      </c>
      <c r="H64">
        <v>66</v>
      </c>
      <c r="I64" t="s">
        <v>433</v>
      </c>
      <c r="J64">
        <v>1627</v>
      </c>
      <c r="K64">
        <v>31</v>
      </c>
      <c r="L64" t="s">
        <v>434</v>
      </c>
      <c r="M64">
        <v>1488</v>
      </c>
      <c r="N64">
        <v>68</v>
      </c>
      <c r="O64" t="s">
        <v>435</v>
      </c>
      <c r="P64">
        <v>1463</v>
      </c>
      <c r="Q64">
        <v>55</v>
      </c>
    </row>
    <row r="65" spans="1:48">
      <c r="A65" t="s">
        <v>8</v>
      </c>
      <c r="B65" t="s">
        <v>9</v>
      </c>
      <c r="C65" t="s">
        <v>10</v>
      </c>
      <c r="D65" s="2">
        <v>1450</v>
      </c>
      <c r="E65">
        <v>256</v>
      </c>
      <c r="F65" t="s">
        <v>11</v>
      </c>
      <c r="G65">
        <v>1551</v>
      </c>
      <c r="H65">
        <v>289</v>
      </c>
      <c r="I65" t="s">
        <v>12</v>
      </c>
      <c r="J65">
        <v>1448</v>
      </c>
      <c r="K65">
        <v>252</v>
      </c>
      <c r="L65" t="s">
        <v>13</v>
      </c>
      <c r="M65">
        <v>1461</v>
      </c>
      <c r="N65">
        <v>188</v>
      </c>
      <c r="O65" t="s">
        <v>14</v>
      </c>
      <c r="P65">
        <v>1477</v>
      </c>
      <c r="Q65">
        <v>242</v>
      </c>
    </row>
    <row r="73" spans="1:48">
      <c r="AM73"/>
      <c r="AP73"/>
      <c r="AS73"/>
      <c r="AV73"/>
    </row>
    <row r="77" spans="1:48">
      <c r="D77"/>
    </row>
    <row r="78" spans="1:48">
      <c r="C78" s="3"/>
      <c r="D78"/>
    </row>
    <row r="79" spans="1:48">
      <c r="C79">
        <v>21</v>
      </c>
      <c r="D79" t="str">
        <f>INDEX(A1:A65,C79)</f>
        <v>Fnatic</v>
      </c>
    </row>
    <row r="80" spans="1:48">
      <c r="C80">
        <v>26</v>
      </c>
      <c r="D80" t="str">
        <f>INDEX(A1:A65,C80)</f>
        <v>Giants</v>
      </c>
    </row>
    <row r="81" spans="3:11">
      <c r="D81"/>
    </row>
    <row r="82" spans="3:11">
      <c r="D82"/>
    </row>
    <row r="83" spans="3:11">
      <c r="D83"/>
    </row>
    <row r="84" spans="3:11">
      <c r="D84"/>
    </row>
    <row r="85" spans="3:11">
      <c r="C85" t="s">
        <v>258</v>
      </c>
      <c r="D85">
        <v>1</v>
      </c>
    </row>
    <row r="86" spans="3:11">
      <c r="C86" t="s">
        <v>259</v>
      </c>
      <c r="D86">
        <f>IF(D85=1,1,IF(D85=2,3,5))</f>
        <v>1</v>
      </c>
      <c r="E86" t="s">
        <v>261</v>
      </c>
    </row>
    <row r="87" spans="3:11">
      <c r="C87" t="s">
        <v>260</v>
      </c>
      <c r="D87"/>
    </row>
    <row r="88" spans="3:11">
      <c r="D88"/>
    </row>
    <row r="89" spans="3:11">
      <c r="C89" t="s">
        <v>0</v>
      </c>
      <c r="D89">
        <f>E89</f>
        <v>67</v>
      </c>
      <c r="E89">
        <v>67</v>
      </c>
      <c r="K89" s="17"/>
    </row>
    <row r="90" spans="3:11">
      <c r="C90" t="s">
        <v>370</v>
      </c>
      <c r="D90" s="15">
        <f>IF($D$121=2,(Laskin!D12+D89)*E113,Laskin!D12+D89)</f>
        <v>1790.8</v>
      </c>
    </row>
    <row r="91" spans="3:11">
      <c r="C91" t="s">
        <v>371</v>
      </c>
      <c r="D91" s="15">
        <f>IF(D121=2,Laskin!D12*E113,Laskin!D12)</f>
        <v>1723.8</v>
      </c>
      <c r="I91" s="16" t="s">
        <v>265</v>
      </c>
      <c r="J91" s="17">
        <f>J94+J95</f>
        <v>0.93867526547257407</v>
      </c>
    </row>
    <row r="92" spans="3:11">
      <c r="C92" t="s">
        <v>372</v>
      </c>
      <c r="D92" s="15">
        <f>IF(D121=2,(Laskin!L12+D89)*F113,Laskin!L12+D89)</f>
        <v>1509.6</v>
      </c>
      <c r="I92" s="16" t="s">
        <v>266</v>
      </c>
      <c r="J92" s="17">
        <f>1-J91</f>
        <v>6.1324734527425928E-2</v>
      </c>
    </row>
    <row r="93" spans="3:11">
      <c r="C93" t="s">
        <v>373</v>
      </c>
      <c r="D93" s="15">
        <f>IF(D121=2,Laskin!L12*F113,Laskin!L12)</f>
        <v>1442.6</v>
      </c>
      <c r="J93" s="17"/>
    </row>
    <row r="94" spans="3:11">
      <c r="I94" s="18" t="s">
        <v>271</v>
      </c>
      <c r="J94" s="17">
        <f>D96*D100</f>
        <v>0.68240167578339617</v>
      </c>
    </row>
    <row r="95" spans="3:11">
      <c r="I95" s="18" t="s">
        <v>272</v>
      </c>
      <c r="J95" s="17">
        <f>D96*D99*D96+D97*D100*D96</f>
        <v>0.25627358968917785</v>
      </c>
    </row>
    <row r="96" spans="3:11">
      <c r="C96" t="s">
        <v>262</v>
      </c>
      <c r="D96" s="3">
        <f>1/(1+(10^((D93-(D90))/400)))</f>
        <v>0.88125831011519062</v>
      </c>
      <c r="I96" s="18" t="s">
        <v>273</v>
      </c>
      <c r="J96" s="17">
        <f>1-J97-J94-J95</f>
        <v>3.4530578336970985E-2</v>
      </c>
    </row>
    <row r="97" spans="3:10">
      <c r="C97" t="s">
        <v>263</v>
      </c>
      <c r="D97" s="3">
        <f>1-D96</f>
        <v>0.11874168988480938</v>
      </c>
      <c r="I97" s="18" t="s">
        <v>274</v>
      </c>
      <c r="J97" s="17">
        <f>D97*D99</f>
        <v>2.6794156190455026E-2</v>
      </c>
    </row>
    <row r="98" spans="3:10">
      <c r="I98" s="19"/>
      <c r="J98" s="17">
        <f>SUM(J94:J97)</f>
        <v>1</v>
      </c>
    </row>
    <row r="99" spans="3:10">
      <c r="C99" t="s">
        <v>264</v>
      </c>
      <c r="D99" s="3">
        <f>1/(1+(10^((D91-(D92))/400)))</f>
        <v>0.22565079052224946</v>
      </c>
      <c r="J99" s="17"/>
    </row>
    <row r="100" spans="3:10">
      <c r="C100" t="s">
        <v>270</v>
      </c>
      <c r="D100" s="3">
        <f>1-D99</f>
        <v>0.77434920947775054</v>
      </c>
      <c r="J100" s="17"/>
    </row>
    <row r="104" spans="3:10">
      <c r="C104" t="str">
        <f>Laskin!E26</f>
        <v>win</v>
      </c>
      <c r="D104" s="3" t="str">
        <f>Laskin!K26</f>
        <v>win</v>
      </c>
      <c r="E104">
        <f>IF(C104="win",1,0)</f>
        <v>1</v>
      </c>
      <c r="F104">
        <f>IF(D104="win",1,0)</f>
        <v>1</v>
      </c>
    </row>
    <row r="105" spans="3:10">
      <c r="C105" t="str">
        <f>Laskin!E27</f>
        <v>lose</v>
      </c>
      <c r="D105" s="3" t="str">
        <f>Laskin!K27</f>
        <v>win</v>
      </c>
      <c r="E105">
        <f t="shared" ref="E105:E108" si="0">IF(C105="win",1,0)</f>
        <v>0</v>
      </c>
      <c r="F105">
        <f t="shared" ref="F105:F108" si="1">IF(D105="win",1,0)</f>
        <v>1</v>
      </c>
    </row>
    <row r="106" spans="3:10">
      <c r="C106" t="str">
        <f>Laskin!E28</f>
        <v>win</v>
      </c>
      <c r="D106" s="3" t="str">
        <f>Laskin!K28</f>
        <v>lose</v>
      </c>
      <c r="E106">
        <f t="shared" si="0"/>
        <v>1</v>
      </c>
      <c r="F106">
        <f t="shared" si="1"/>
        <v>0</v>
      </c>
    </row>
    <row r="107" spans="3:10">
      <c r="C107" t="str">
        <f>Laskin!E29</f>
        <v>win</v>
      </c>
      <c r="D107" s="3" t="str">
        <f>Laskin!K29</f>
        <v>lose</v>
      </c>
      <c r="E107">
        <f t="shared" si="0"/>
        <v>1</v>
      </c>
      <c r="F107">
        <f t="shared" si="1"/>
        <v>0</v>
      </c>
    </row>
    <row r="108" spans="3:10">
      <c r="C108" t="str">
        <f>Laskin!E30</f>
        <v>win</v>
      </c>
      <c r="D108" s="3" t="str">
        <f>Laskin!K30</f>
        <v>win</v>
      </c>
      <c r="E108">
        <f t="shared" si="0"/>
        <v>1</v>
      </c>
      <c r="F108">
        <f t="shared" si="1"/>
        <v>1</v>
      </c>
    </row>
    <row r="112" spans="3:10">
      <c r="C112" t="s">
        <v>451</v>
      </c>
      <c r="D112" s="3">
        <v>1</v>
      </c>
      <c r="E112">
        <v>1</v>
      </c>
      <c r="F112">
        <v>1</v>
      </c>
    </row>
    <row r="113" spans="3:6">
      <c r="C113" t="s">
        <v>452</v>
      </c>
      <c r="D113" s="3">
        <v>0.9</v>
      </c>
      <c r="E113">
        <f>INDEX($D$112:$D$119,E112)</f>
        <v>1</v>
      </c>
      <c r="F113">
        <f>INDEX($D$112:$D$119,F112)</f>
        <v>1</v>
      </c>
    </row>
    <row r="114" spans="3:6">
      <c r="C114" t="s">
        <v>453</v>
      </c>
      <c r="D114" s="3">
        <v>0.95</v>
      </c>
    </row>
    <row r="115" spans="3:6">
      <c r="C115" t="s">
        <v>454</v>
      </c>
      <c r="D115" s="3">
        <v>1</v>
      </c>
    </row>
    <row r="116" spans="3:6">
      <c r="C116" t="s">
        <v>455</v>
      </c>
      <c r="D116" s="3">
        <v>1</v>
      </c>
    </row>
    <row r="117" spans="3:6">
      <c r="C117" t="s">
        <v>456</v>
      </c>
      <c r="D117" s="3">
        <v>0.8</v>
      </c>
    </row>
    <row r="118" spans="3:6">
      <c r="C118" t="s">
        <v>457</v>
      </c>
      <c r="D118" s="3">
        <v>0.7</v>
      </c>
    </row>
    <row r="119" spans="3:6">
      <c r="C119" t="s">
        <v>458</v>
      </c>
      <c r="D119" s="3">
        <v>0.9</v>
      </c>
    </row>
    <row r="121" spans="3:6">
      <c r="C121" t="s">
        <v>459</v>
      </c>
      <c r="D121" s="3">
        <v>1</v>
      </c>
    </row>
    <row r="122" spans="3:6">
      <c r="C122" t="s">
        <v>460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zoomScale="80" zoomScaleNormal="80" workbookViewId="0">
      <selection activeCell="B4" sqref="B4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450</v>
      </c>
      <c r="H1" s="109" t="s">
        <v>450</v>
      </c>
      <c r="K1" s="14" t="s">
        <v>1</v>
      </c>
    </row>
    <row r="3" spans="2:16">
      <c r="G3" s="1">
        <f>Data!E113</f>
        <v>1</v>
      </c>
      <c r="H3" s="1">
        <f>Data!F113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VLOOKUP(Data!$D$79,Data!Excel_data,3,FALSE)</f>
        <v>Bwipo</v>
      </c>
      <c r="D6" s="84">
        <f>VLOOKUP(Data!$D$79,Data!Excel_data,4,FALSE)</f>
        <v>1686</v>
      </c>
      <c r="E6" s="8">
        <f>VLOOKUP(Data!$D$79,Data!Excel_data,5,FALSE)</f>
        <v>58</v>
      </c>
      <c r="F6" s="91"/>
      <c r="G6" s="91"/>
      <c r="H6" s="91"/>
      <c r="I6" s="36"/>
      <c r="J6" s="37" t="s">
        <v>250</v>
      </c>
      <c r="K6" s="7" t="str">
        <f>VLOOKUP(Data!$D$80,Data!Excel_data,3,FALSE)</f>
        <v>Ruin</v>
      </c>
      <c r="L6" s="84">
        <f>VLOOKUP(Data!$D$80,Data!Excel_data,4,FALSE)</f>
        <v>1473</v>
      </c>
      <c r="M6" s="8">
        <f>VLOOKUP(Data!$D$80,Data!Excel_data,5,FALSE)</f>
        <v>54</v>
      </c>
      <c r="N6" s="91"/>
      <c r="O6" s="91"/>
      <c r="P6" s="91"/>
    </row>
    <row r="7" spans="2:16">
      <c r="B7" s="38" t="s">
        <v>251</v>
      </c>
      <c r="C7" s="9" t="str">
        <f>VLOOKUP(Data!$D$79,Data!Excel_data,6,FALSE)</f>
        <v>Broxah</v>
      </c>
      <c r="D7" s="67">
        <f>VLOOKUP(Data!$D$79,Data!Excel_data,7,FALSE)</f>
        <v>1749</v>
      </c>
      <c r="E7" s="10">
        <f>VLOOKUP(Data!$D$79,Data!Excel_data,8,FALSE)</f>
        <v>161</v>
      </c>
      <c r="F7" s="91"/>
      <c r="G7" s="91"/>
      <c r="H7" s="91"/>
      <c r="I7" s="36"/>
      <c r="J7" s="38" t="s">
        <v>251</v>
      </c>
      <c r="K7" s="9" t="str">
        <f>VLOOKUP(Data!$D$80,Data!Excel_data,6,FALSE)</f>
        <v>Djoko</v>
      </c>
      <c r="L7" s="67">
        <f>VLOOKUP(Data!$D$80,Data!Excel_data,7,FALSE)</f>
        <v>1430</v>
      </c>
      <c r="M7" s="10">
        <f>VLOOKUP(Data!$D$80,Data!Excel_data,8,FALSE)</f>
        <v>98</v>
      </c>
      <c r="N7" s="91"/>
      <c r="O7" s="91"/>
      <c r="P7" s="91"/>
    </row>
    <row r="8" spans="2:16">
      <c r="B8" s="38" t="s">
        <v>252</v>
      </c>
      <c r="C8" s="9" t="str">
        <f>VLOOKUP(Data!$D$79,Data!Excel_data,9,FALSE)</f>
        <v>Caps</v>
      </c>
      <c r="D8" s="67">
        <f>VLOOKUP(Data!$D$79,Data!Excel_data,10,FALSE)</f>
        <v>1746</v>
      </c>
      <c r="E8" s="10">
        <f>VLOOKUP(Data!$D$79,Data!Excel_data,11,FALSE)</f>
        <v>170</v>
      </c>
      <c r="F8" s="91"/>
      <c r="G8" s="91"/>
      <c r="H8" s="91"/>
      <c r="I8" s="36"/>
      <c r="J8" s="38" t="s">
        <v>252</v>
      </c>
      <c r="K8" s="9" t="str">
        <f>VLOOKUP(Data!$D$80,Data!Excel_data,9,FALSE)</f>
        <v>Betsy</v>
      </c>
      <c r="L8" s="67">
        <f>VLOOKUP(Data!$D$80,Data!Excel_data,10,FALSE)</f>
        <v>1452</v>
      </c>
      <c r="M8" s="10">
        <f>VLOOKUP(Data!$D$80,Data!Excel_data,11,FALSE)</f>
        <v>200</v>
      </c>
      <c r="N8" s="91"/>
      <c r="O8" s="91"/>
      <c r="P8" s="91"/>
    </row>
    <row r="9" spans="2:16">
      <c r="B9" s="38" t="s">
        <v>253</v>
      </c>
      <c r="C9" s="9" t="str">
        <f>VLOOKUP(Data!$D$79,Data!Excel_data,12,FALSE)</f>
        <v>Rekkles</v>
      </c>
      <c r="D9" s="67">
        <f>VLOOKUP(Data!$D$79,Data!Excel_data,13,FALSE)</f>
        <v>1713</v>
      </c>
      <c r="E9" s="10">
        <f>VLOOKUP(Data!$D$79,Data!Excel_data,14,FALSE)</f>
        <v>393</v>
      </c>
      <c r="F9" s="91"/>
      <c r="G9" s="91"/>
      <c r="H9" s="91"/>
      <c r="I9" s="36"/>
      <c r="J9" s="38" t="s">
        <v>253</v>
      </c>
      <c r="K9" s="9" t="str">
        <f>VLOOKUP(Data!$D$80,Data!Excel_data,12,FALSE)</f>
        <v>Steeelback</v>
      </c>
      <c r="L9" s="67">
        <f>VLOOKUP(Data!$D$80,Data!Excel_data,13,FALSE)</f>
        <v>1437</v>
      </c>
      <c r="M9" s="10">
        <f>VLOOKUP(Data!$D$80,Data!Excel_data,14,FALSE)</f>
        <v>201</v>
      </c>
      <c r="N9" s="91"/>
      <c r="O9" s="91"/>
      <c r="P9" s="91"/>
    </row>
    <row r="10" spans="2:16">
      <c r="B10" s="39" t="s">
        <v>254</v>
      </c>
      <c r="C10" s="11" t="str">
        <f>VLOOKUP(Data!$D$79,Data!Excel_data,15,FALSE)</f>
        <v>Hylissang</v>
      </c>
      <c r="D10" s="85">
        <f>VLOOKUP(Data!$D$79,Data!Excel_data,16,FALSE)</f>
        <v>1725</v>
      </c>
      <c r="E10" s="12">
        <f>VLOOKUP(Data!$D$79,Data!Excel_data,17,FALSE)</f>
        <v>317</v>
      </c>
      <c r="F10" s="91"/>
      <c r="G10" s="91"/>
      <c r="H10" s="91"/>
      <c r="I10" s="36"/>
      <c r="J10" s="39" t="s">
        <v>254</v>
      </c>
      <c r="K10" s="11" t="str">
        <f>VLOOKUP(Data!$D$80,Data!Excel_data,15,FALSE)</f>
        <v>Sirnukesalot</v>
      </c>
      <c r="L10" s="85">
        <f>VLOOKUP(Data!$D$80,Data!Excel_data,16,FALSE)</f>
        <v>1421</v>
      </c>
      <c r="M10" s="12">
        <f>VLOOKUP(Data!$D$80,Data!Excel_data,17,FALSE)</f>
        <v>19</v>
      </c>
      <c r="N10" s="91"/>
      <c r="O10" s="91"/>
      <c r="P10" s="91"/>
    </row>
    <row r="12" spans="2:16">
      <c r="C12" s="5" t="s">
        <v>275</v>
      </c>
      <c r="D12" s="6">
        <f>AVERAGE(D6:D10)</f>
        <v>1723.8</v>
      </c>
      <c r="E12" s="5"/>
      <c r="F12" s="6"/>
      <c r="K12" s="5" t="s">
        <v>275</v>
      </c>
      <c r="L12" s="6">
        <f>AVERAGE(L6:L10)</f>
        <v>1442.6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IF(Data!D86=1,Data!D96,IF(Data!D86=3,Data!J94+Data!J95,0))</f>
        <v>0.88125831011519062</v>
      </c>
      <c r="E15" s="78">
        <f>1/D15</f>
        <v>1.1347410725344405</v>
      </c>
      <c r="G15" s="4" t="s">
        <v>0</v>
      </c>
      <c r="H15" s="57">
        <f>Data!D89</f>
        <v>67</v>
      </c>
      <c r="J15" s="77">
        <f>IF(Data!D86=1,Data!D97,IF(Data!D86=3,Data!J92))</f>
        <v>0.11874168988480938</v>
      </c>
      <c r="K15" s="78">
        <f>1/J15</f>
        <v>8.4216419773888536</v>
      </c>
      <c r="L15" s="41" t="s">
        <v>267</v>
      </c>
    </row>
    <row r="16" spans="2:16">
      <c r="C16" s="75" t="str">
        <f>IF(Data!D86=3,"+1.5","")</f>
        <v/>
      </c>
      <c r="D16" s="79" t="str">
        <f>IF(Data!D86=3,Data!J95+Data!J94+Data!J96,"")</f>
        <v/>
      </c>
      <c r="E16" s="20" t="str">
        <f>IF(D16&lt;&gt;"",1/D16,"")</f>
        <v/>
      </c>
      <c r="J16" s="79" t="str">
        <f>IF(Data!D86=3,Data!J96+Data!J97+Data!J95,"")</f>
        <v/>
      </c>
      <c r="K16" s="20" t="str">
        <f>IF(J16&lt;&gt;"",1/J16,"")</f>
        <v/>
      </c>
      <c r="L16" s="42" t="str">
        <f>IF(Data!D86=3,"+1.5","")</f>
        <v/>
      </c>
    </row>
    <row r="17" spans="1:13">
      <c r="C17" s="76" t="str">
        <f>IF(Data!D86=3,"-1.5","")</f>
        <v/>
      </c>
      <c r="D17" s="81" t="str">
        <f>IF(Data!D86=3,Data!J94,"")</f>
        <v/>
      </c>
      <c r="E17" s="82" t="str">
        <f>IF(D17&lt;&gt;"",1/D17,"")</f>
        <v/>
      </c>
      <c r="J17" s="81" t="str">
        <f>IF(Data!D86=3,Data!J97,"")</f>
        <v/>
      </c>
      <c r="K17" s="82" t="str">
        <f>IF(J17&lt;&gt;"",1/J17,"")</f>
        <v/>
      </c>
      <c r="L17" s="43" t="str">
        <f>IF(Data!D86=3,"-1.5","")</f>
        <v/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VLOOKUP(Data!$D$79,Data!Excel_data,2,FALSE)</f>
        <v>FNC</v>
      </c>
      <c r="E19" s="88" t="str">
        <f>VLOOKUP(Data!$D$80,Data!Excel_data,2,FALSE)</f>
        <v>GIA</v>
      </c>
      <c r="J19" s="68" t="s">
        <v>268</v>
      </c>
      <c r="K19" s="68" t="s">
        <v>269</v>
      </c>
    </row>
    <row r="20" spans="1:13">
      <c r="C20" s="88" t="s">
        <v>375</v>
      </c>
      <c r="D20" s="72">
        <f>Data!D96</f>
        <v>0.88125831011519062</v>
      </c>
      <c r="E20" s="72">
        <f>Data!D97</f>
        <v>0.11874168988480938</v>
      </c>
      <c r="F20" s="73">
        <f>1/D20</f>
        <v>1.1347410725344405</v>
      </c>
      <c r="G20" s="73">
        <f>1/E20</f>
        <v>8.4216419773888536</v>
      </c>
      <c r="I20" s="66" t="str">
        <f>IF(Data!D86=3,"Over 2,5","")</f>
        <v/>
      </c>
      <c r="J20" s="72" t="str">
        <f>IF(Data!D86=3,Data!J95+Data!J96,"")</f>
        <v/>
      </c>
      <c r="K20" s="73" t="str">
        <f>IF(J20&lt;&gt;"",1/J20,"")</f>
        <v/>
      </c>
    </row>
    <row r="21" spans="1:13">
      <c r="C21" s="88" t="s">
        <v>374</v>
      </c>
      <c r="D21" s="72">
        <f>Data!D100</f>
        <v>0.77434920947775054</v>
      </c>
      <c r="E21" s="72">
        <f>Data!D99</f>
        <v>0.22565079052224946</v>
      </c>
      <c r="F21" s="73">
        <f t="shared" ref="F21:F22" si="0">1/D21</f>
        <v>1.2914070134770805</v>
      </c>
      <c r="G21" s="73">
        <f>1/E21</f>
        <v>4.4316263979646848</v>
      </c>
      <c r="I21" s="66" t="str">
        <f>IF(Data!D86=3,"Under 2,5","")</f>
        <v/>
      </c>
      <c r="J21" s="72" t="str">
        <f>IF(Data!D86=3,Data!J97+Data!J94,"")</f>
        <v/>
      </c>
      <c r="K21" s="73" t="str">
        <f>IF(J21&lt;&gt;"",1/J21,"")</f>
        <v/>
      </c>
    </row>
    <row r="22" spans="1:13">
      <c r="C22" s="88" t="s">
        <v>376</v>
      </c>
      <c r="D22" s="72">
        <f>D20</f>
        <v>0.88125831011519062</v>
      </c>
      <c r="E22" s="72">
        <f>E20</f>
        <v>0.11874168988480938</v>
      </c>
      <c r="F22" s="73">
        <f t="shared" si="0"/>
        <v>1.1347410725344405</v>
      </c>
      <c r="G22" s="73">
        <f t="shared" ref="G22" si="1">1/E22</f>
        <v>8.4216419773888536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0" t="str">
        <f>Data!D79&amp;" last 5 games:"</f>
        <v>Fnatic last 5 games:</v>
      </c>
      <c r="D24" s="110"/>
      <c r="E24" s="110"/>
      <c r="F24" s="110"/>
      <c r="G24" s="110"/>
      <c r="I24" s="110" t="str">
        <f>Data!D80&amp;" last 5 games:"</f>
        <v>Giants last 5 games:</v>
      </c>
      <c r="J24" s="110"/>
      <c r="K24" s="110"/>
      <c r="L24" s="110"/>
      <c r="M24" s="110"/>
    </row>
    <row r="25" spans="1:13">
      <c r="A25" s="21"/>
      <c r="C25" s="123" t="s">
        <v>363</v>
      </c>
      <c r="D25" s="123"/>
      <c r="E25" s="68" t="s">
        <v>364</v>
      </c>
      <c r="F25" s="123" t="s">
        <v>365</v>
      </c>
      <c r="G25" s="123"/>
      <c r="I25" s="123" t="s">
        <v>363</v>
      </c>
      <c r="J25" s="123"/>
      <c r="K25" s="68" t="s">
        <v>364</v>
      </c>
      <c r="L25" s="123" t="s">
        <v>365</v>
      </c>
      <c r="M25" s="123"/>
    </row>
    <row r="26" spans="1:13">
      <c r="A26" s="21"/>
      <c r="C26" s="121" t="str">
        <f>VLOOKUP(Data!$D$79,Last_games!Team_last_game_data_1,14,FALSE)</f>
        <v>sOAZ,Broxah,Caps,Bwipo,Hylissang</v>
      </c>
      <c r="D26" s="121"/>
      <c r="E26" s="83" t="str">
        <f>VLOOKUP(Data!$D$79,Last_games!Team_last_game_data_1,15,FALSE)</f>
        <v>win</v>
      </c>
      <c r="F26" s="122" t="str">
        <f>VLOOKUP(Data!$D$79,Last_games!Team_last_game_data_1,16,FALSE)</f>
        <v>G2 Esports</v>
      </c>
      <c r="G26" s="122"/>
      <c r="I26" s="121" t="str">
        <f>VLOOKUP(Data!$D$80,Last_games!Team_last_game_data_1,14,FALSE)</f>
        <v>Ruin,Djoko,Betsy,Steeelback,Sirnukesalot</v>
      </c>
      <c r="J26" s="121"/>
      <c r="K26" s="83" t="str">
        <f>VLOOKUP(Data!$D$80,Last_games!Team_last_game_data_1,15,FALSE)</f>
        <v>win</v>
      </c>
      <c r="L26" s="122" t="str">
        <f>VLOOKUP(Data!$D$80,Last_games!Team_last_game_data_1,16,FALSE)</f>
        <v>ROCCAT</v>
      </c>
      <c r="M26" s="122"/>
    </row>
    <row r="27" spans="1:13">
      <c r="A27" s="21"/>
      <c r="C27" s="121" t="str">
        <f>VLOOKUP(Data!$D$79,Last_games!Team_last_game_data_1,11,FALSE)</f>
        <v>sOAZ,Broxah,Caps,Bwipo,Hylissang</v>
      </c>
      <c r="D27" s="121"/>
      <c r="E27" s="83" t="str">
        <f>VLOOKUP(Data!$D$79,Last_games!Team_last_game_data_1,12,FALSE)</f>
        <v>lose</v>
      </c>
      <c r="F27" s="122" t="str">
        <f>VLOOKUP(Data!$D$79,Last_games!Team_last_game_data_1,13,FALSE)</f>
        <v>Vitality</v>
      </c>
      <c r="G27" s="122"/>
      <c r="I27" s="121" t="str">
        <f>VLOOKUP(Data!$D$80,Last_games!Team_last_game_data_1,11,FALSE)</f>
        <v>Ruin,Djoko,Betsy,Steeelback,Sirnukesalot</v>
      </c>
      <c r="J27" s="121"/>
      <c r="K27" s="83" t="str">
        <f>VLOOKUP(Data!$D$80,Last_games!Team_last_game_data_1,12,FALSE)</f>
        <v>win</v>
      </c>
      <c r="L27" s="122" t="str">
        <f>VLOOKUP(Data!$D$80,Last_games!Team_last_game_data_1,13,FALSE)</f>
        <v>Misfits</v>
      </c>
      <c r="M27" s="122"/>
    </row>
    <row r="28" spans="1:13">
      <c r="A28" s="21"/>
      <c r="C28" s="121" t="str">
        <f>VLOOKUP(Data!$D$79,Last_games!Team_last_game_data_1,8,FALSE)</f>
        <v>sOAZ,Broxah,Caps,Bwipo,Hylissang</v>
      </c>
      <c r="D28" s="121"/>
      <c r="E28" s="83" t="str">
        <f>VLOOKUP(Data!$D$79,Last_games!Team_last_game_data_1,9,FALSE)</f>
        <v>win</v>
      </c>
      <c r="F28" s="122" t="str">
        <f>VLOOKUP(Data!$D$79,Last_games!Team_last_game_data_1,10,FALSE)</f>
        <v>H2k-Gaming</v>
      </c>
      <c r="G28" s="122"/>
      <c r="I28" s="121" t="str">
        <f>VLOOKUP(Data!$D$80,Last_games!Team_last_game_data_1,8,FALSE)</f>
        <v>Ruin,Djoko,Betsy,Steeelback,Sirnukesalot</v>
      </c>
      <c r="J28" s="121"/>
      <c r="K28" s="83" t="str">
        <f>VLOOKUP(Data!$D$80,Last_games!Team_last_game_data_1,9,FALSE)</f>
        <v>lose</v>
      </c>
      <c r="L28" s="122" t="str">
        <f>VLOOKUP(Data!$D$80,Last_games!Team_last_game_data_1,10,FALSE)</f>
        <v>Unicorns Of Love</v>
      </c>
      <c r="M28" s="122"/>
    </row>
    <row r="29" spans="1:13">
      <c r="A29" s="21"/>
      <c r="C29" s="121" t="str">
        <f>VLOOKUP(Data!$D$79,Last_games!Team_last_game_data_1,5,FALSE)</f>
        <v>sOAZ,Broxah,Caps,Bwipo,Hylissang</v>
      </c>
      <c r="D29" s="121"/>
      <c r="E29" s="83" t="str">
        <f>VLOOKUP(Data!$D$79,Last_games!Team_last_game_data_1,6,FALSE)</f>
        <v>win</v>
      </c>
      <c r="F29" s="122" t="str">
        <f>VLOOKUP(Data!$D$79,Last_games!Team_last_game_data_1,7,FALSE)</f>
        <v>FC Schalke 04</v>
      </c>
      <c r="G29" s="122"/>
      <c r="I29" s="121" t="str">
        <f>VLOOKUP(Data!$D$80,Last_games!Team_last_game_data_1,5,FALSE)</f>
        <v>Ruin,Djoko,Betsy,Steeelback,Sirnukesalot</v>
      </c>
      <c r="J29" s="121"/>
      <c r="K29" s="83" t="str">
        <f>VLOOKUP(Data!$D$80,Last_games!Team_last_game_data_1,6,FALSE)</f>
        <v>lose</v>
      </c>
      <c r="L29" s="122" t="str">
        <f>VLOOKUP(Data!$D$80,Last_games!Team_last_game_data_1,7,FALSE)</f>
        <v>Vitality</v>
      </c>
      <c r="M29" s="122"/>
    </row>
    <row r="30" spans="1:13">
      <c r="A30" s="21"/>
      <c r="C30" s="121" t="str">
        <f>VLOOKUP(Data!$D$79,Last_games!Team_last_game_data_1,2,FALSE)</f>
        <v>sOAZ,Broxah,Caps,Bwipo,Hylissang</v>
      </c>
      <c r="D30" s="121"/>
      <c r="E30" s="83" t="str">
        <f>VLOOKUP(Data!$D$79,Last_games!Team_last_game_data_1,3,FALSE)</f>
        <v>win</v>
      </c>
      <c r="F30" s="122" t="str">
        <f>VLOOKUP(Data!$D$79,Last_games!Team_last_game_data_1,4,FALSE)</f>
        <v>Misfits</v>
      </c>
      <c r="G30" s="122"/>
      <c r="I30" s="121" t="str">
        <f>VLOOKUP(Data!$D$80,Last_games!Team_last_game_data_1,2,FALSE)</f>
        <v>Ruin,Djoko,Betsy,Steeelback,Sirnukesalot</v>
      </c>
      <c r="J30" s="121"/>
      <c r="K30" s="83" t="str">
        <f>VLOOKUP(Data!$D$80,Last_games!Team_last_game_data_1,3,FALSE)</f>
        <v>win</v>
      </c>
      <c r="L30" s="122" t="str">
        <f>VLOOKUP(Data!$D$80,Last_games!Team_last_game_data_1,4,FALSE)</f>
        <v>H2k-Gaming</v>
      </c>
      <c r="M30" s="122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I30" sqref="I30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385</v>
      </c>
      <c r="AH15" s="100" t="e">
        <f>AVERAGE(AH3:AH12)</f>
        <v>#DIV/0!</v>
      </c>
    </row>
    <row r="16" spans="1:34">
      <c r="AG16" s="100" t="s">
        <v>384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8</vt:i4>
      </vt:variant>
      <vt:variant>
        <vt:lpstr>Nimetyt alueet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tomi</cp:lastModifiedBy>
  <dcterms:created xsi:type="dcterms:W3CDTF">2018-01-16T13:29:25Z</dcterms:created>
  <dcterms:modified xsi:type="dcterms:W3CDTF">2018-08-10T20:01:26Z</dcterms:modified>
</cp:coreProperties>
</file>